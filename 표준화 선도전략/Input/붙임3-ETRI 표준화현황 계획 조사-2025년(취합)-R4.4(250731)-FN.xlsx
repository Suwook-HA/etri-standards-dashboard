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표준선도전략Python\Data\"/>
    </mc:Choice>
  </mc:AlternateContent>
  <xr:revisionPtr revIDLastSave="0" documentId="13_ncr:1_{690B7EBE-71C7-4353-AE30-73F4FB017BD3}" xr6:coauthVersionLast="47" xr6:coauthVersionMax="47" xr10:uidLastSave="{00000000-0000-0000-0000-000000000000}"/>
  <bookViews>
    <workbookView xWindow="1100" yWindow="2020" windowWidth="36020" windowHeight="18090" tabRatio="774" xr2:uid="{E3B37EBC-93DB-EA45-9FDF-7F201644D2F6}"/>
  </bookViews>
  <sheets>
    <sheet name="취합" sheetId="7" r:id="rId1"/>
    <sheet name="결과" sheetId="9" r:id="rId2"/>
    <sheet name="개수" sheetId="8" state="hidden" r:id="rId3"/>
    <sheet name="(참고) ETRI 12대 전략기술 및 42개 세부기술" sheetId="3" r:id="rId4"/>
  </sheets>
  <definedNames>
    <definedName name="_xlnm._FilterDatabase" localSheetId="0" hidden="1">취합!$A$1:$Z$651</definedName>
    <definedName name="range1">'(참고) ETRI 12대 전략기술 및 42개 세부기술'!$E$3:$E$11</definedName>
    <definedName name="range10">'(참고) ETRI 12대 전략기술 및 42개 세부기술'!$E$46:$E$48</definedName>
    <definedName name="range11">'(참고) ETRI 12대 전략기술 및 42개 세부기술'!$E$49:$E$51</definedName>
    <definedName name="range12">'(참고) ETRI 12대 전략기술 및 42개 세부기술'!$E$52:$E$56</definedName>
    <definedName name="range2">'(참고) ETRI 12대 전략기술 및 42개 세부기술'!$E$12:$E$14</definedName>
    <definedName name="range3">'(참고) ETRI 12대 전략기술 및 42개 세부기술'!$E$15:$E$17</definedName>
    <definedName name="range4">'(참고) ETRI 12대 전략기술 및 42개 세부기술'!$E$18:$E$19</definedName>
    <definedName name="range5">'(참고) ETRI 12대 전략기술 및 42개 세부기술'!$E$20:$E$24</definedName>
    <definedName name="range6">'(참고) ETRI 12대 전략기술 및 42개 세부기술'!$E$25:$E$30</definedName>
    <definedName name="range7">'(참고) ETRI 12대 전략기술 및 42개 세부기술'!$E$31:$E$36</definedName>
    <definedName name="range8">'(참고) ETRI 12대 전략기술 및 42개 세부기술'!$E$37:$E$41</definedName>
    <definedName name="range9">'(참고) ETRI 12대 전략기술 및 42개 세부기술'!$E$42:$E$45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2" i="9" l="1"/>
  <c r="M32" i="9"/>
  <c r="M33" i="9" s="1"/>
  <c r="L32" i="9"/>
  <c r="K32" i="9"/>
  <c r="J32" i="9"/>
  <c r="J33" i="9" s="1"/>
  <c r="N29" i="9"/>
  <c r="M29" i="9"/>
  <c r="L29" i="9"/>
  <c r="K29" i="9"/>
  <c r="J29" i="9"/>
  <c r="J30" i="9" s="1"/>
  <c r="J26" i="9"/>
  <c r="K26" i="9"/>
  <c r="L26" i="9"/>
  <c r="M26" i="9"/>
  <c r="N26" i="9"/>
  <c r="N25" i="9"/>
  <c r="M25" i="9"/>
  <c r="L25" i="9"/>
  <c r="K25" i="9"/>
  <c r="J25" i="9"/>
  <c r="J21" i="9"/>
  <c r="K21" i="9"/>
  <c r="L21" i="9"/>
  <c r="M21" i="9"/>
  <c r="N21" i="9"/>
  <c r="J22" i="9"/>
  <c r="K22" i="9"/>
  <c r="L22" i="9"/>
  <c r="M22" i="9"/>
  <c r="N22" i="9"/>
  <c r="N20" i="9"/>
  <c r="M20" i="9"/>
  <c r="L20" i="9"/>
  <c r="K20" i="9"/>
  <c r="J20" i="9"/>
  <c r="J15" i="9"/>
  <c r="K15" i="9"/>
  <c r="L15" i="9"/>
  <c r="M15" i="9"/>
  <c r="N15" i="9"/>
  <c r="J16" i="9"/>
  <c r="K16" i="9"/>
  <c r="L16" i="9"/>
  <c r="M16" i="9"/>
  <c r="N16" i="9"/>
  <c r="J17" i="9"/>
  <c r="K17" i="9"/>
  <c r="L17" i="9"/>
  <c r="M17" i="9"/>
  <c r="N17" i="9"/>
  <c r="N14" i="9"/>
  <c r="M14" i="9"/>
  <c r="L14" i="9"/>
  <c r="K14" i="9"/>
  <c r="J14" i="9"/>
  <c r="K10" i="9"/>
  <c r="L10" i="9"/>
  <c r="M10" i="9"/>
  <c r="N10" i="9"/>
  <c r="K11" i="9"/>
  <c r="L11" i="9"/>
  <c r="M11" i="9"/>
  <c r="N11" i="9"/>
  <c r="N9" i="9"/>
  <c r="M9" i="9"/>
  <c r="L9" i="9"/>
  <c r="K9" i="9"/>
  <c r="J10" i="9"/>
  <c r="J11" i="9"/>
  <c r="J9" i="9"/>
  <c r="N5" i="9"/>
  <c r="N6" i="9"/>
  <c r="N4" i="9"/>
  <c r="M5" i="9"/>
  <c r="M6" i="9"/>
  <c r="M4" i="9"/>
  <c r="L5" i="9"/>
  <c r="L6" i="9"/>
  <c r="L4" i="9"/>
  <c r="K5" i="9"/>
  <c r="K6" i="9"/>
  <c r="K4" i="9"/>
  <c r="J5" i="9"/>
  <c r="J6" i="9"/>
  <c r="J4" i="9"/>
  <c r="E35" i="9"/>
  <c r="H32" i="9"/>
  <c r="H29" i="9"/>
  <c r="H26" i="9"/>
  <c r="H25" i="9"/>
  <c r="H22" i="9"/>
  <c r="H21" i="9"/>
  <c r="H20" i="9"/>
  <c r="H17" i="9"/>
  <c r="H16" i="9"/>
  <c r="H15" i="9"/>
  <c r="H14" i="9"/>
  <c r="H11" i="9"/>
  <c r="H10" i="9"/>
  <c r="H9" i="9"/>
  <c r="H5" i="9"/>
  <c r="H6" i="9"/>
  <c r="H4" i="9"/>
  <c r="G32" i="9"/>
  <c r="G29" i="9"/>
  <c r="G26" i="9"/>
  <c r="G25" i="9"/>
  <c r="G21" i="9"/>
  <c r="G22" i="9"/>
  <c r="G20" i="9"/>
  <c r="G15" i="9"/>
  <c r="G16" i="9"/>
  <c r="G17" i="9"/>
  <c r="G14" i="9"/>
  <c r="G10" i="9"/>
  <c r="G11" i="9"/>
  <c r="G9" i="9"/>
  <c r="G5" i="9"/>
  <c r="G6" i="9"/>
  <c r="G4" i="9"/>
  <c r="O15" i="9" l="1"/>
  <c r="O9" i="9"/>
  <c r="O25" i="9"/>
  <c r="O5" i="9"/>
  <c r="O11" i="9"/>
  <c r="O14" i="9"/>
  <c r="O20" i="9"/>
  <c r="O26" i="9"/>
  <c r="O17" i="9"/>
  <c r="O22" i="9"/>
  <c r="O29" i="9"/>
  <c r="O6" i="9"/>
  <c r="O10" i="9"/>
  <c r="O4" i="9"/>
  <c r="O16" i="9"/>
  <c r="O21" i="9"/>
  <c r="O32" i="9"/>
  <c r="J23" i="9"/>
  <c r="N12" i="9"/>
  <c r="N23" i="9"/>
  <c r="N7" i="9"/>
  <c r="J12" i="9"/>
  <c r="M18" i="9"/>
  <c r="K27" i="9"/>
  <c r="M7" i="9"/>
  <c r="J7" i="9"/>
  <c r="J18" i="9"/>
  <c r="K30" i="9"/>
  <c r="M27" i="9"/>
  <c r="J27" i="9"/>
  <c r="K33" i="9"/>
  <c r="M30" i="9"/>
  <c r="N18" i="9"/>
  <c r="H33" i="9"/>
  <c r="G33" i="9"/>
  <c r="F32" i="9"/>
  <c r="F33" i="9" s="1"/>
  <c r="H30" i="9"/>
  <c r="F25" i="9"/>
  <c r="F26" i="9"/>
  <c r="F4" i="9"/>
  <c r="F5" i="9"/>
  <c r="F6" i="9"/>
  <c r="F14" i="9"/>
  <c r="F15" i="9"/>
  <c r="F16" i="9"/>
  <c r="F17" i="9"/>
  <c r="F20" i="9"/>
  <c r="F21" i="9"/>
  <c r="F22" i="9"/>
  <c r="F9" i="9"/>
  <c r="F10" i="9"/>
  <c r="F11" i="9"/>
  <c r="G30" i="9"/>
  <c r="F29" i="9"/>
  <c r="F30" i="9" s="1"/>
  <c r="L18" i="9" l="1"/>
  <c r="L23" i="9"/>
  <c r="L7" i="9"/>
  <c r="L12" i="9"/>
  <c r="M23" i="9"/>
  <c r="M12" i="9"/>
  <c r="J35" i="9"/>
  <c r="L30" i="9"/>
  <c r="N30" i="9"/>
  <c r="N27" i="9"/>
  <c r="L27" i="9"/>
  <c r="N33" i="9"/>
  <c r="L33" i="9"/>
  <c r="F12" i="9"/>
  <c r="F7" i="9"/>
  <c r="F27" i="9"/>
  <c r="H12" i="9"/>
  <c r="H7" i="9"/>
  <c r="H27" i="9"/>
  <c r="G12" i="9"/>
  <c r="G23" i="9"/>
  <c r="G27" i="9"/>
  <c r="H23" i="9"/>
  <c r="F18" i="9"/>
  <c r="F23" i="9"/>
  <c r="G18" i="9"/>
  <c r="G7" i="9"/>
  <c r="H18" i="9"/>
  <c r="C4" i="8"/>
  <c r="C5" i="8"/>
  <c r="C6" i="8"/>
  <c r="C7" i="8"/>
  <c r="C8" i="8"/>
  <c r="C3" i="8"/>
  <c r="O33" i="9" l="1"/>
  <c r="O27" i="9"/>
  <c r="O30" i="9"/>
  <c r="M35" i="9"/>
  <c r="K18" i="9"/>
  <c r="O18" i="9" s="1"/>
  <c r="K23" i="9"/>
  <c r="O23" i="9" s="1"/>
  <c r="K7" i="9"/>
  <c r="O7" i="9" s="1"/>
  <c r="K12" i="9"/>
  <c r="O12" i="9" s="1"/>
  <c r="L35" i="9"/>
  <c r="N35" i="9"/>
  <c r="F35" i="9"/>
  <c r="H35" i="9"/>
  <c r="G35" i="9"/>
  <c r="C9" i="8"/>
  <c r="O35" i="9" l="1"/>
  <c r="K3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Minkyo</author>
    <author>Editor-Minkyo</author>
  </authors>
  <commentList>
    <comment ref="R458" authorId="0" shapeId="0" xr:uid="{AD7BD806-A108-4647-A42F-8BC1617083A8}">
      <text>
        <r>
          <rPr>
            <b/>
            <sz val="9"/>
            <color indexed="81"/>
            <rFont val="Tahoma"/>
            <family val="2"/>
          </rPr>
          <t>Minkyo:</t>
        </r>
        <r>
          <rPr>
            <sz val="9"/>
            <color indexed="81"/>
            <rFont val="Tahoma"/>
            <family val="2"/>
          </rPr>
          <t xml:space="preserve">
7) </t>
        </r>
        <r>
          <rPr>
            <sz val="9"/>
            <color indexed="81"/>
            <rFont val="돋움"/>
            <family val="3"/>
            <charset val="129"/>
          </rPr>
          <t>차세대통신의</t>
        </r>
        <r>
          <rPr>
            <sz val="9"/>
            <color indexed="81"/>
            <rFont val="Tahoma"/>
            <family val="2"/>
          </rPr>
          <t xml:space="preserve"> </t>
        </r>
        <r>
          <rPr>
            <sz val="9"/>
            <color indexed="81"/>
            <rFont val="돋움"/>
            <family val="3"/>
            <charset val="129"/>
          </rPr>
          <t>하부</t>
        </r>
        <r>
          <rPr>
            <sz val="9"/>
            <color indexed="81"/>
            <rFont val="Tahoma"/>
            <family val="2"/>
          </rPr>
          <t xml:space="preserve"> </t>
        </r>
        <r>
          <rPr>
            <sz val="9"/>
            <color indexed="81"/>
            <rFont val="돋움"/>
            <family val="3"/>
            <charset val="129"/>
          </rPr>
          <t>선택사항의</t>
        </r>
        <r>
          <rPr>
            <sz val="9"/>
            <color indexed="81"/>
            <rFont val="Tahoma"/>
            <family val="2"/>
          </rPr>
          <t xml:space="preserve"> </t>
        </r>
        <r>
          <rPr>
            <sz val="9"/>
            <color indexed="81"/>
            <rFont val="돋움"/>
            <family val="3"/>
            <charset val="129"/>
          </rPr>
          <t>오류</t>
        </r>
        <r>
          <rPr>
            <sz val="9"/>
            <color indexed="81"/>
            <rFont val="Tahoma"/>
            <family val="2"/>
          </rPr>
          <t xml:space="preserve"> 
23 5G </t>
        </r>
        <r>
          <rPr>
            <sz val="9"/>
            <color indexed="81"/>
            <rFont val="돋움"/>
            <family val="3"/>
            <charset val="129"/>
          </rPr>
          <t>고도화</t>
        </r>
        <r>
          <rPr>
            <sz val="9"/>
            <color indexed="81"/>
            <rFont val="Tahoma"/>
            <family val="2"/>
          </rPr>
          <t xml:space="preserve"> (</t>
        </r>
        <r>
          <rPr>
            <sz val="9"/>
            <color indexed="81"/>
            <rFont val="돋움"/>
            <family val="3"/>
            <charset val="129"/>
          </rPr>
          <t>추가</t>
        </r>
        <r>
          <rPr>
            <sz val="9"/>
            <color indexed="81"/>
            <rFont val="Tahoma"/>
            <family val="2"/>
          </rPr>
          <t xml:space="preserve">)
24 5G·6G </t>
        </r>
        <r>
          <rPr>
            <sz val="9"/>
            <color indexed="81"/>
            <rFont val="돋움"/>
            <family val="3"/>
            <charset val="129"/>
          </rPr>
          <t>고효율</t>
        </r>
        <r>
          <rPr>
            <sz val="9"/>
            <color indexed="81"/>
            <rFont val="Tahoma"/>
            <family val="2"/>
          </rPr>
          <t xml:space="preserve"> </t>
        </r>
        <r>
          <rPr>
            <sz val="9"/>
            <color indexed="81"/>
            <rFont val="돋움"/>
            <family val="3"/>
            <charset val="129"/>
          </rPr>
          <t xml:space="preserve">통신부품
</t>
        </r>
        <r>
          <rPr>
            <sz val="9"/>
            <color indexed="81"/>
            <rFont val="Tahoma"/>
            <family val="2"/>
          </rPr>
          <t xml:space="preserve">25 5G·6G </t>
        </r>
        <r>
          <rPr>
            <sz val="9"/>
            <color indexed="81"/>
            <rFont val="돋움"/>
            <family val="3"/>
            <charset val="129"/>
          </rPr>
          <t>고효율</t>
        </r>
        <r>
          <rPr>
            <sz val="9"/>
            <color indexed="81"/>
            <rFont val="Tahoma"/>
            <family val="2"/>
          </rPr>
          <t xml:space="preserve"> </t>
        </r>
        <r>
          <rPr>
            <sz val="9"/>
            <color indexed="81"/>
            <rFont val="돋움"/>
            <family val="3"/>
            <charset val="129"/>
          </rPr>
          <t>통신부품</t>
        </r>
        <r>
          <rPr>
            <sz val="9"/>
            <color indexed="81"/>
            <rFont val="Tahoma"/>
            <family val="2"/>
          </rPr>
          <t xml:space="preserve"> -&gt; 5G·6G </t>
        </r>
        <r>
          <rPr>
            <sz val="9"/>
            <color indexed="81"/>
            <rFont val="돋움"/>
            <family val="3"/>
            <charset val="129"/>
          </rPr>
          <t xml:space="preserve">위성통신
</t>
        </r>
        <r>
          <rPr>
            <sz val="9"/>
            <color indexed="81"/>
            <rFont val="Tahoma"/>
            <family val="2"/>
          </rPr>
          <t xml:space="preserve">26 6G
27 </t>
        </r>
        <r>
          <rPr>
            <sz val="9"/>
            <color indexed="81"/>
            <rFont val="돋움"/>
            <family val="3"/>
            <charset val="129"/>
          </rPr>
          <t>오픈랜</t>
        </r>
        <r>
          <rPr>
            <sz val="9"/>
            <color indexed="81"/>
            <rFont val="Tahoma"/>
            <family val="2"/>
          </rPr>
          <t xml:space="preserve"> 
</t>
        </r>
      </text>
    </comment>
    <comment ref="F538" authorId="1" shapeId="0" xr:uid="{B0274AE1-D752-45ED-AF4D-4C1A9F6E2404}">
      <text>
        <r>
          <rPr>
            <b/>
            <sz val="9"/>
            <color indexed="81"/>
            <rFont val="돋움"/>
            <family val="3"/>
            <charset val="129"/>
          </rPr>
          <t>표준화</t>
        </r>
        <r>
          <rPr>
            <b/>
            <sz val="9"/>
            <color indexed="81"/>
            <rFont val="Tahoma"/>
            <family val="2"/>
          </rPr>
          <t xml:space="preserve"> </t>
        </r>
        <r>
          <rPr>
            <b/>
            <sz val="9"/>
            <color indexed="81"/>
            <rFont val="돋움"/>
            <family val="3"/>
            <charset val="129"/>
          </rPr>
          <t>기구</t>
        </r>
        <r>
          <rPr>
            <b/>
            <sz val="9"/>
            <color indexed="81"/>
            <rFont val="Tahoma"/>
            <family val="2"/>
          </rPr>
          <t xml:space="preserve"> SID</t>
        </r>
        <r>
          <rPr>
            <b/>
            <sz val="9"/>
            <color indexed="81"/>
            <rFont val="돋움"/>
            <family val="3"/>
            <charset val="129"/>
          </rPr>
          <t>는</t>
        </r>
        <r>
          <rPr>
            <b/>
            <sz val="9"/>
            <color indexed="81"/>
            <rFont val="Tahoma"/>
            <family val="2"/>
          </rPr>
          <t xml:space="preserve"> </t>
        </r>
        <r>
          <rPr>
            <b/>
            <sz val="9"/>
            <color indexed="81"/>
            <rFont val="돋움"/>
            <family val="3"/>
            <charset val="129"/>
          </rPr>
          <t>목록에</t>
        </r>
        <r>
          <rPr>
            <b/>
            <sz val="9"/>
            <color indexed="81"/>
            <rFont val="Tahoma"/>
            <family val="2"/>
          </rPr>
          <t xml:space="preserve"> </t>
        </r>
        <r>
          <rPr>
            <b/>
            <sz val="9"/>
            <color indexed="81"/>
            <rFont val="돋움"/>
            <family val="3"/>
            <charset val="129"/>
          </rPr>
          <t>없음</t>
        </r>
        <r>
          <rPr>
            <b/>
            <sz val="9"/>
            <color indexed="81"/>
            <rFont val="Tahoma"/>
            <family val="2"/>
          </rPr>
          <t xml:space="preserve">
</t>
        </r>
      </text>
    </comment>
  </commentList>
</comments>
</file>

<file path=xl/sharedStrings.xml><?xml version="1.0" encoding="utf-8"?>
<sst xmlns="http://schemas.openxmlformats.org/spreadsheetml/2006/main" count="10911" uniqueCount="3207">
  <si>
    <t>소</t>
    <phoneticPr fontId="1" type="noConversion"/>
  </si>
  <si>
    <t>본부(단)</t>
    <phoneticPr fontId="1" type="noConversion"/>
  </si>
  <si>
    <t>ITU-T</t>
    <phoneticPr fontId="1" type="noConversion"/>
  </si>
  <si>
    <t>순번</t>
    <phoneticPr fontId="1" type="noConversion"/>
  </si>
  <si>
    <t>1발명자</t>
    <phoneticPr fontId="1" type="noConversion"/>
  </si>
  <si>
    <t>표준특허명</t>
    <phoneticPr fontId="1" type="noConversion"/>
  </si>
  <si>
    <t>출원국가</t>
    <phoneticPr fontId="1" type="noConversion"/>
  </si>
  <si>
    <t>ETRI 의장단</t>
    <phoneticPr fontId="1" type="noConversion"/>
  </si>
  <si>
    <t>사업분류</t>
    <phoneticPr fontId="1" type="noConversion"/>
  </si>
  <si>
    <t>출연처</t>
    <phoneticPr fontId="1" type="noConversion"/>
  </si>
  <si>
    <t>과기부</t>
    <phoneticPr fontId="1" type="noConversion"/>
  </si>
  <si>
    <t>표준연구본부</t>
    <phoneticPr fontId="1" type="noConversion"/>
  </si>
  <si>
    <t>한국/미국</t>
    <phoneticPr fontId="1" type="noConversion"/>
  </si>
  <si>
    <t>위원회, 작업반 등</t>
    <phoneticPr fontId="1" type="noConversion"/>
  </si>
  <si>
    <t>12대 전략기술</t>
  </si>
  <si>
    <t>42개 세부중점기술</t>
  </si>
  <si>
    <t>고성능·저전력 AI 반도체</t>
  </si>
  <si>
    <t>반도체 첨단 패키징</t>
  </si>
  <si>
    <t>차세대 고성능 센서</t>
  </si>
  <si>
    <t>무기발광 디스플레이</t>
  </si>
  <si>
    <t>반도체·디스플레이 소재·부품·장비</t>
  </si>
  <si>
    <t>차세대 이차전지 소재·셀</t>
  </si>
  <si>
    <t>이차전지 모듈·시스템</t>
  </si>
  <si>
    <t>자율주행시스템</t>
  </si>
  <si>
    <t>도심항공교통(UAM)</t>
  </si>
  <si>
    <t>디지털헬스 데이터 분석·활용</t>
  </si>
  <si>
    <t>데이터 및 AI보안</t>
  </si>
  <si>
    <t>디지털 취약점 분석대응</t>
  </si>
  <si>
    <t>신산업·가상융합 보안</t>
  </si>
  <si>
    <t xml:space="preserve">효율적학습/AI인프라고도화 </t>
  </si>
  <si>
    <t>첨단 AI모델링·의사결정</t>
  </si>
  <si>
    <t>산업 활용·혁신 AI</t>
  </si>
  <si>
    <t>안전·신뢰 AI</t>
  </si>
  <si>
    <t>휴먼증강</t>
  </si>
  <si>
    <t>5G·6G 고효율 통신부품</t>
    <phoneticPr fontId="1" type="noConversion"/>
  </si>
  <si>
    <t xml:space="preserve">오픈랜 </t>
    <phoneticPr fontId="1" type="noConversion"/>
  </si>
  <si>
    <t>고난도 자율조작</t>
  </si>
  <si>
    <t>로봇 자율이동</t>
  </si>
  <si>
    <t>인간·로봇 상호작용</t>
  </si>
  <si>
    <t>가상제조</t>
  </si>
  <si>
    <t>양자센싱</t>
  </si>
  <si>
    <t>양자컴퓨팅</t>
    <phoneticPr fontId="1" type="noConversion"/>
  </si>
  <si>
    <t>양자통신</t>
  </si>
  <si>
    <t>초실감 입체 미디어 기술</t>
  </si>
  <si>
    <t xml:space="preserve">초실감 상호작용 기술 </t>
  </si>
  <si>
    <t>슈퍼컴퓨팅</t>
    <phoneticPr fontId="1" type="noConversion"/>
  </si>
  <si>
    <t>AI컴퓨팅 시스템</t>
    <phoneticPr fontId="1" type="noConversion"/>
  </si>
  <si>
    <t>국방ICT융합</t>
    <phoneticPr fontId="1" type="noConversion"/>
  </si>
  <si>
    <t>안전ICT융합</t>
    <phoneticPr fontId="1" type="noConversion"/>
  </si>
  <si>
    <t>에너지ICT융합</t>
    <phoneticPr fontId="1" type="noConversion"/>
  </si>
  <si>
    <t xml:space="preserve">산업ICT융합 </t>
    <phoneticPr fontId="1" type="noConversion"/>
  </si>
  <si>
    <t>기술분류표</t>
    <phoneticPr fontId="1" type="noConversion"/>
  </si>
  <si>
    <t>세부중점기술 분야</t>
    <phoneticPr fontId="1" type="noConversion"/>
  </si>
  <si>
    <t>표준개발과제(과기부 정보통신방송표준개발지원사업)</t>
    <phoneticPr fontId="1" type="noConversion"/>
  </si>
  <si>
    <t>개발중</t>
    <phoneticPr fontId="1" type="noConversion"/>
  </si>
  <si>
    <t>ICT전략연구소</t>
  </si>
  <si>
    <t>표준연구본부</t>
  </si>
  <si>
    <t>과기부</t>
  </si>
  <si>
    <t>ITU-T</t>
  </si>
  <si>
    <t>표준개발과제(과기부 정보통신방송표준개발지원사업)</t>
  </si>
  <si>
    <t>ETRI 관리번호</t>
    <phoneticPr fontId="1" type="noConversion"/>
  </si>
  <si>
    <t>표준개발과제(국표원 표준기술력향상사업)</t>
    <phoneticPr fontId="1" type="noConversion"/>
  </si>
  <si>
    <t>산업부</t>
    <phoneticPr fontId="1" type="noConversion"/>
  </si>
  <si>
    <t>계획중</t>
    <phoneticPr fontId="1" type="noConversion"/>
  </si>
  <si>
    <t>심태형, 이준섭</t>
    <phoneticPr fontId="1" type="noConversion"/>
  </si>
  <si>
    <t>이준섭</t>
    <phoneticPr fontId="1" type="noConversion"/>
  </si>
  <si>
    <t xml:space="preserve">차량 긴급구난체계(e-Call)은 차량 운행 중 교통사고가 발생하면 자동으로 사고를 감지하고, 관련 정보를 e-Call 센터로 전송하여 구조 기관(경찰, 119 안전신고센터 등)에 사고 내용을 통지하여 인명구조 등 사고를 처리하기 위한 시스템임. Aftermarket 단말의 사고신고 오작동 방지를 위한 Proxy PSAP 기술이 표준특허에 반영되어 있음 </t>
    <phoneticPr fontId="1" type="noConversion"/>
  </si>
  <si>
    <t>-</t>
    <phoneticPr fontId="1" type="noConversion"/>
  </si>
  <si>
    <t>심태형, 임정일</t>
    <phoneticPr fontId="1" type="noConversion"/>
  </si>
  <si>
    <t>심태형</t>
    <phoneticPr fontId="1" type="noConversion"/>
  </si>
  <si>
    <t>PR20230032</t>
    <phoneticPr fontId="1" type="noConversion"/>
  </si>
  <si>
    <t>SG5</t>
    <phoneticPr fontId="1" type="noConversion"/>
  </si>
  <si>
    <t>이 표준은 자율주행 배달로봇이 사람의 개입 없이 재화를 배달하는 서비스를 위해 도심 인프라 및 사용자 단말 등과 연동하기 위한 요구사항을 정의함</t>
    <phoneticPr fontId="1" type="noConversion"/>
  </si>
  <si>
    <t>이 표준은 자율주행 배달로봇이 사람의 개입 없이 재화를 배달하는 서비스를 위해 도심 인프라 및 사용자 단말 등과 연동하기 위한 기능요소 및 인터페이스를 포함하는 참조구조를 정의함</t>
    <phoneticPr fontId="1" type="noConversion"/>
  </si>
  <si>
    <t>정상진</t>
    <phoneticPr fontId="1" type="noConversion"/>
  </si>
  <si>
    <t>통신망 및 전기설비의 기후변화 대응을 위한 기후변화 위험도 평가 프레임워크</t>
    <phoneticPr fontId="1" type="noConversion"/>
  </si>
  <si>
    <t>통신망 기지국을 활용하여 기후환경 정보를 수집하기 위한 방법 및 사례 제시</t>
    <phoneticPr fontId="1" type="noConversion"/>
  </si>
  <si>
    <t>SC39</t>
    <phoneticPr fontId="1" type="noConversion"/>
  </si>
  <si>
    <t>데이터센터의 효율을 평가하기 위해 복수개의 평가지표를 종합적으로 평가할 수 있는 방법 정의</t>
    <phoneticPr fontId="1" type="noConversion"/>
  </si>
  <si>
    <t>에너지 효율적인 컴퓨팅을 위해 컴퓨팅 모델의 에너지 효율 평가 방법 정의</t>
    <phoneticPr fontId="1" type="noConversion"/>
  </si>
  <si>
    <t>전기설비를 IoT 기반으로 연결하여 관리하기 위해 필수적인 전기설비 장치의 모델을 정의</t>
    <phoneticPr fontId="1" type="noConversion"/>
  </si>
  <si>
    <t>OCF Resource Type Specification 2.0.5/OCF Device Specification 2.0.5</t>
    <phoneticPr fontId="1" type="noConversion"/>
  </si>
  <si>
    <t>ICT 네트워크 및 단말의 에너지 효율을 향상시키기 위한 참조 운영모델 제시</t>
    <phoneticPr fontId="1" type="noConversion"/>
  </si>
  <si>
    <t>와이브로 네트워크 상에서 IP over 이더넷 지원을 위한 전송 방법 정의</t>
    <phoneticPr fontId="1" type="noConversion"/>
  </si>
  <si>
    <t>프록시 모바일 IPv6의 로컬 라우팅 문제정의</t>
    <phoneticPr fontId="1" type="noConversion"/>
  </si>
  <si>
    <t>미래 네트워크를 위한 네트워크 가상화 지원을 위한 프레임워크 정의</t>
    <phoneticPr fontId="1" type="noConversion"/>
  </si>
  <si>
    <t>안윤영, 정상진</t>
    <phoneticPr fontId="1" type="noConversion"/>
  </si>
  <si>
    <t>이 표준은 지속가능한 도시의 건물 인프라 설비 중 에너지, 환경, 소방설비를 식별할 수 있는 공통의 식별방법을 제시</t>
    <phoneticPr fontId="1" type="noConversion"/>
  </si>
  <si>
    <t>미래 네트워크를 위한 네트워크 가상화 지원을 위한 요구사항 정의</t>
    <phoneticPr fontId="1" type="noConversion"/>
  </si>
  <si>
    <t>OCF Resource Type Specification &amp; Device Specification for Medication Monitor</t>
    <phoneticPr fontId="1" type="noConversion"/>
  </si>
  <si>
    <t>환자의 복약 관련 사항을 관리하기 위한 복약기를 IoT 기반으로 연결하여 관리하기 위해 필수적인 디바이스 및 리소스 모델을 정의</t>
    <phoneticPr fontId="1" type="noConversion"/>
  </si>
  <si>
    <t>정상진, 김성혜</t>
    <phoneticPr fontId="1" type="noConversion"/>
  </si>
  <si>
    <t>김성혜</t>
    <phoneticPr fontId="1" type="noConversion"/>
  </si>
  <si>
    <t>기타</t>
  </si>
  <si>
    <t>USN 응용 및 서비스 배포 시 기후변화 완화를 위해 고려할 사항에 대한 지침 제공</t>
  </si>
  <si>
    <t>임정일</t>
  </si>
  <si>
    <t>ICT 제품, 네트워크, 서비스가 환경에 미치는 영향을 평가하기 위한 방법 제공</t>
  </si>
  <si>
    <t>그린 데이터 센터 구축을 위한 모범사례 제공</t>
  </si>
  <si>
    <t>기타</t>
    <phoneticPr fontId="1" type="noConversion"/>
  </si>
  <si>
    <t>박주영, 최문환</t>
    <phoneticPr fontId="1" type="noConversion"/>
  </si>
  <si>
    <t xml:space="preserve">ITU-T Q.IEC-SAINF (Q.5028)은 지능형 엣지 컴퓨팅(IEC) 기반의 스마트 온실 서비스를 위한 데이터 관리 인터페이스를 정의하는 표준문서이다. 
클라우드-엣지 지원 시스템을 구현하기 위한 기반으로서의 지능형 엣지 컴퓨팅 관련 참조점에서 스마트 농업에서 사용되는 센서 및 구동기, 엣지 서버간 상호작용을 통해 작물 생육 데이터의 보고 및 분석, 생육 모델 수립 등의 활동이 이루어지게 되며 수립된 생육 모델을 단말로 전송한다. 이 표준문서는 이를 위한 네트워크 기능 및 지능형 데이터 처리를 위한 신호 메시지를 정의하고 웹 API 지원을 통하여 웹 기반 통신용 레거시 장치를 수용할 수 있도록 한다. </t>
    <phoneticPr fontId="1" type="noConversion"/>
  </si>
  <si>
    <t>이창규, 윤성현</t>
    <phoneticPr fontId="1" type="noConversion"/>
  </si>
  <si>
    <t>ITU-T Y.DM-SLF는 스마트 축산 서비스를 위하여 요구되는 데이터 모델을 정의한다. 
데이터 측면에서 스마트 축산 서비스의 개념을 소개하고 데이터 항목과 각 항목간의 관계를 정의함으로서 스마트 축산 서비스를 위한 개념적 데이터 모델을 수립하기 위하여 개발하고 있다.</t>
    <phoneticPr fontId="1" type="noConversion"/>
  </si>
  <si>
    <t>ICT 분야에서 온실가스 감축 또는 에너지 소비 절감 프로젝트를 진행할 때 감축 및 절감 계량화를 산정함으로써 환경 영향을 평가하는 방법을 설명</t>
    <phoneticPr fontId="1" type="noConversion"/>
  </si>
  <si>
    <t>김용운</t>
    <phoneticPr fontId="1" type="noConversion"/>
  </si>
  <si>
    <t>SG11</t>
    <phoneticPr fontId="1" type="noConversion"/>
  </si>
  <si>
    <t>바코드, RFID 등 식별용 태그를 활용하여 정보 서비스를 제공하는 네트워크, 응용, 및 서비스 대상 적합성과 상호운용성 시험을 지원하는 기능 구조를 정의</t>
    <phoneticPr fontId="1" type="noConversion"/>
  </si>
  <si>
    <t>바코드, RFID 등 식별용 태그를 활용하여 정보 서비스를 제공하는 네트워크, 응용, 및 서비스를 위한 요구사항 정의</t>
    <phoneticPr fontId="1" type="noConversion"/>
  </si>
  <si>
    <t>단대단 멀티캐스트를 지원하는 RMCP의 컨셉 및 데이터 전달 모델, 서비스 시나리오를 정의</t>
    <phoneticPr fontId="1" type="noConversion"/>
  </si>
  <si>
    <t>이창규</t>
    <phoneticPr fontId="1" type="noConversion"/>
  </si>
  <si>
    <t>관리형 P2P 통신에서 피어의 상태 정보를 관리하기 위한 관리 프로토콜 정의</t>
    <phoneticPr fontId="1" type="noConversion"/>
  </si>
  <si>
    <t>현욱</t>
    <phoneticPr fontId="1" type="noConversion"/>
  </si>
  <si>
    <t>관리형 P2P 통신을 통해서 제공되는 멀티미디어 스트리밍 서비스를 위해서 구성된 오버레이 네트워크 정보를 관리하기 위한 프로토콜 정의</t>
    <phoneticPr fontId="1" type="noConversion"/>
  </si>
  <si>
    <t>제한시간내 콘텐츠 전송을 하기 위한 방법 제안</t>
    <phoneticPr fontId="1" type="noConversion"/>
  </si>
  <si>
    <t>관리형 P2P 통신을 통해서 콘텐츠 배포 서비스를 제공하기 위해서 필요한 피어간 통신 프로토콜 정의</t>
    <phoneticPr fontId="1" type="noConversion"/>
  </si>
  <si>
    <t>디지털 사이니지의 디스플레이 장치 제어를 위한 인터페이스 정의</t>
    <phoneticPr fontId="1" type="noConversion"/>
  </si>
  <si>
    <t>관리형 P2P 통신을 통해서 데이터 스트리밍 서비스를 제공할 때 필요한 데이터 소스 관리 프로토콜 정의</t>
    <phoneticPr fontId="1" type="noConversion"/>
  </si>
  <si>
    <t>IP 멀티캐스트가 지원하지 않는 인터넷에서 여러 발신자에서 여러 수신자로 데이터를 전달하는 N-plex 데이터 중계를 위한 기능 요구사항과 응용 계층 전달 프로토콜 정의</t>
    <phoneticPr fontId="1" type="noConversion"/>
  </si>
  <si>
    <t xml:space="preserve">IP 멀티캐스트가 지원하지 않는 인터넷에서 유무선 통합 네트워크 환경에서 일대다 데이터 중계를 위한 기능 요구사항 및 응용 계층 전달 프로토콜 정의 </t>
    <phoneticPr fontId="1" type="noConversion"/>
  </si>
  <si>
    <t>IP 멀티캐스트가 지원하지 않는 인터넷에서 일대다 데이터 중계를 위한 기능 요구사항과 응용 계층 전달 프로토콜 정의</t>
    <phoneticPr fontId="1" type="noConversion"/>
  </si>
  <si>
    <t>SC6</t>
  </si>
  <si>
    <t>일반 P2P 네트워킹의 문제점 정의, 관리형 P2P의 분류 및 개념을 정의, 관리형 P2P를 지원하기 위한 요구 사항 정의, 관리형 P2P 프레임워크 정의, 관리형 P2P 지원하기 위한 정보 흐름 정의</t>
    <phoneticPr fontId="1" type="noConversion"/>
  </si>
  <si>
    <t>현재 IP 기반 네트워크의 미디어 전송 문제를 식별하고 미래 네트워크를 통한 미디어 데이터 전송에 대한 요구 사항 정의</t>
    <phoneticPr fontId="1" type="noConversion"/>
  </si>
  <si>
    <t>ORCP(Overlay Resource Control Protocol)을 정의하며, 이는 캐시 서버(CS)/릴레이 서버(RS)와 오버레이 관리 서버(OMS) 사이의 인터페이스와 OMS와 피어 사이의 인터페이스에서 실행되는 오버레이 리소스 제어 프로토콜 정의</t>
    <phoneticPr fontId="1" type="noConversion"/>
  </si>
  <si>
    <t>김성혜, 현욱</t>
    <phoneticPr fontId="1" type="noConversion"/>
  </si>
  <si>
    <t>W3C</t>
  </si>
  <si>
    <t>W3C TV Control API Specification</t>
    <phoneticPr fontId="1" type="noConversion"/>
  </si>
  <si>
    <t>Smart TV, IPTV 등 인터넷에서 채널 및 프로그램 메타데이터를 사용하여 방송, IPTV 또는 기타 소스의 TV 및 라디오와 같은 오디오 및 비디오 미디어를 소싱하기 위한 API를 정의</t>
    <phoneticPr fontId="1" type="noConversion"/>
  </si>
  <si>
    <t>디지털 사이니지 서비스에서 사용되는 메타데이터 요구사항과 메타데이터 구조를 정의함</t>
    <phoneticPr fontId="1" type="noConversion"/>
  </si>
  <si>
    <t>김성혜, 허미영</t>
    <phoneticPr fontId="1" type="noConversion"/>
  </si>
  <si>
    <t>APT</t>
  </si>
  <si>
    <t>AWG</t>
  </si>
  <si>
    <t>무선 전력 전송(WPT) 기술을 적용한 장치 및 서비스 분석, 예상 인프라 분석 및 연구 항목 및 WPT 서비스 배포 시나리오 정의.</t>
    <phoneticPr fontId="1" type="noConversion"/>
  </si>
  <si>
    <t>무선 전력 전송(WPT)기반의 응용 서비스 개념, 기능 모델, 요구사항, 기본 서비스 흐름 및 서비스 유스케이스 정의</t>
    <phoneticPr fontId="1" type="noConversion"/>
  </si>
  <si>
    <t>김성혜, 박주영</t>
    <phoneticPr fontId="1" type="noConversion"/>
  </si>
  <si>
    <t>머신 소셜라이제이션의 핵심기능인 관계관리 모델과 기능정의</t>
    <phoneticPr fontId="1" type="noConversion"/>
  </si>
  <si>
    <t>정영식</t>
    <phoneticPr fontId="1" type="noConversion"/>
  </si>
  <si>
    <t>듀얼밴드 RFID 구현을 위한 수정표준안</t>
    <phoneticPr fontId="1" type="noConversion"/>
  </si>
  <si>
    <t>SC41</t>
    <phoneticPr fontId="1" type="noConversion"/>
  </si>
  <si>
    <t>IoT 시스탬을 위한 상호운용성 프레임워크를 정의</t>
    <phoneticPr fontId="1" type="noConversion"/>
  </si>
  <si>
    <t>NGN 환경에서 RFID 서비스를 제공하기 위한 NGN의 기능요구사항 및 구조</t>
    <phoneticPr fontId="1" type="noConversion"/>
  </si>
  <si>
    <t>유상근</t>
    <phoneticPr fontId="1" type="noConversion"/>
  </si>
  <si>
    <t>NGN 환경에서 USN 서비스를 제공하기 위한 NGN의 기능요구사항 및 구조</t>
    <phoneticPr fontId="1" type="noConversion"/>
  </si>
  <si>
    <t>사물인터넷 응용을 위한 공통 요구사항</t>
    <phoneticPr fontId="1" type="noConversion"/>
  </si>
  <si>
    <t>머신 소셜라이이제션을 위한 개요 및 요구사항</t>
    <phoneticPr fontId="1" type="noConversion"/>
  </si>
  <si>
    <t>ISO/IEC 18000-6 Type-C 태그의 응용데이터 저장 형식</t>
    <phoneticPr fontId="1" type="noConversion"/>
  </si>
  <si>
    <t>ISO/IEC 18000-6 Type-C 태그의 코드 해석을 위한 서비스 브로커 기능</t>
    <phoneticPr fontId="1" type="noConversion"/>
  </si>
  <si>
    <t>센서 네트워크 참조모델 정의를 위한 개요 및 요구사항</t>
    <phoneticPr fontId="1" type="noConversion"/>
  </si>
  <si>
    <t>SG11 Q8</t>
    <phoneticPr fontId="1" type="noConversion"/>
  </si>
  <si>
    <t>에디터(현욱)</t>
    <phoneticPr fontId="1" type="noConversion"/>
  </si>
  <si>
    <t>SG11 Q8 라포처(이창규)</t>
    <phoneticPr fontId="1" type="noConversion"/>
  </si>
  <si>
    <t>METHOD AND APPARATUS FOR SELECTING AND RECEIVING STREAM IN DISTRIBUTION NETWORK-BASED MULTIMEDIA STREAMING SERVICE</t>
    <phoneticPr fontId="1" type="noConversion"/>
  </si>
  <si>
    <t>WIRELESS CHARGING APPARATUS BASED ON THREE-DIMENSIONAL (3D) WIRELESS CHARGING ZONE</t>
    <phoneticPr fontId="1" type="noConversion"/>
  </si>
  <si>
    <t>SG20 Q1</t>
    <phoneticPr fontId="1" type="noConversion"/>
  </si>
  <si>
    <t>이현정</t>
    <phoneticPr fontId="1" type="noConversion"/>
  </si>
  <si>
    <t>프로젝트 리더(김성혜)</t>
    <phoneticPr fontId="1" type="noConversion"/>
  </si>
  <si>
    <t>스마트팩토리 소프트웨어의 상호연동을 위한 기능 프로파일 템플릿 및 카타로깅 방법</t>
    <phoneticPr fontId="1" type="noConversion"/>
  </si>
  <si>
    <t>유상근, 이현정</t>
    <phoneticPr fontId="1" type="noConversion"/>
  </si>
  <si>
    <t>프로젝트 리더(유상근)</t>
    <phoneticPr fontId="1" type="noConversion"/>
  </si>
  <si>
    <t>감염병 발생에 따른 긴급 보건위기 상황에서 격리자를 대상으로 격리 상태에 대한 원격 모니터링과 이상 상태 탐지를 위한 기능 구조와 요구사항을 정의</t>
    <phoneticPr fontId="1" type="noConversion"/>
  </si>
  <si>
    <t>김용운, 유상근, 김성혜, 이창규</t>
    <phoneticPr fontId="1" type="noConversion"/>
  </si>
  <si>
    <t>에디터(김용운)</t>
    <phoneticPr fontId="1" type="noConversion"/>
  </si>
  <si>
    <t>ISO</t>
  </si>
  <si>
    <t>개발하는 표준문서는 제조 환경 다중 디지털 트윈을 목적에 따라 서로 결합 또는 연결할 수 있도록 하기 위한 요구사항을 기술하고, ISO 23247 제조 디지털 트윈 프레임워크 상에서 이를 제공하기 위한 기능을 상세 정의한다.</t>
  </si>
  <si>
    <t>개발중</t>
  </si>
  <si>
    <t>프로젝트 리더(선경재)</t>
    <phoneticPr fontId="1" type="noConversion"/>
  </si>
  <si>
    <t>개발하는 표준문서는 IoT기반 헬스 기기 및 의료정보 교환 표준체계를 활용한 산업보건 서비스 플랫폼 요구사항을 기술하고, 이를 기반으로 프레임워크 구조를 명시한다. 또한, 제안하는 서비스 플랫폼을 활용하기 위한 산업보건 서비스 활용사례를 부록으로 제시한다.</t>
  </si>
  <si>
    <t>에디터(선경재)</t>
    <phoneticPr fontId="1" type="noConversion"/>
  </si>
  <si>
    <t>에디터(김학서)</t>
    <phoneticPr fontId="1" type="noConversion"/>
  </si>
  <si>
    <t>가상 세계 및 물리 세계 간 통합을 가능하게 하는 디지털 트윈 기반의 메타버스 참조 모델</t>
    <phoneticPr fontId="1" type="noConversion"/>
  </si>
  <si>
    <t>김학서</t>
    <phoneticPr fontId="1" type="noConversion"/>
  </si>
  <si>
    <t>현실세계와 가상세계 간 연동을 위한 디지털 트윈</t>
    <phoneticPr fontId="1" type="noConversion"/>
  </si>
  <si>
    <t>하이브리드 P2P 통신을 위한 피어 프로토콜의 확장성 지원을 위한 개정 작업</t>
    <phoneticPr fontId="1" type="noConversion"/>
  </si>
  <si>
    <t>하이브리드 P2P 통신상에서 특징 기반 비디오 서비스를 제공하기 위해서 필요한 전송 프로토콜 정의</t>
    <phoneticPr fontId="1" type="noConversion"/>
  </si>
  <si>
    <t>하이브리드 P2P 통신사에서 데이터 스트리밍 서비스를 제공하기 위한 신호방식 요구사항 정의</t>
    <phoneticPr fontId="1" type="noConversion"/>
  </si>
  <si>
    <t>판데믹 대응을 위한 대응 자원 정보 관리 요구사항 정의</t>
    <phoneticPr fontId="1" type="noConversion"/>
  </si>
  <si>
    <t>디지털 트윈에서 디지털 스레드를 이용하기 위한 개념 및 방법론을 정의하고, 디지털 스레드를 사용 사례 예시를 제공함으로써 디지털 스레드가 제품 수명 주기 전반에 걸쳐 제조 디지털 트윈의 생성, 연결, 관리 및 유지 관리를 가능하게 하는 방법 정의함</t>
    <phoneticPr fontId="1" type="noConversion"/>
  </si>
  <si>
    <t>김성혜, 선경재, 유상근, 김용운, 손지연, 이학진</t>
    <phoneticPr fontId="1" type="noConversion"/>
  </si>
  <si>
    <t>의료 기관 외부에서 수집된 PGHR을 보유하는 디지털 건강 플랫폼 내에서 개인 생성 건강 기록(PGHR)에 대한 액세스 권한을 부여하기 위한 지침과 프레임워크을 정의함표준에서는 PGHR 접근 권한과 관련하여 다양한 문제를 식별하고 안전하게 개인 건강 정보를 공유하는 프레임워크를 정의하고, 개인 건강 정보를 사용에 대한 가이드라인을 제시함</t>
    <phoneticPr fontId="1" type="noConversion"/>
  </si>
  <si>
    <t>에디터(김성혜)</t>
    <phoneticPr fontId="1" type="noConversion"/>
  </si>
  <si>
    <t>반도체 제조를 위한 실리콘 잉곳 성장 과정에 디지털 트윈을 적용하는 유스케이스 정의</t>
    <phoneticPr fontId="1" type="noConversion"/>
  </si>
  <si>
    <t>감염병 대응을 위한 감염방 확진자(확진의심자)의 동선추적을 위한 절차 및 요구사항</t>
    <phoneticPr fontId="1" type="noConversion"/>
  </si>
  <si>
    <t>디지털 트윈 성숙도 모델 정의 및 평가 가이드라인</t>
    <phoneticPr fontId="1" type="noConversion"/>
  </si>
  <si>
    <t>이현정, 유상근</t>
    <phoneticPr fontId="1" type="noConversion"/>
  </si>
  <si>
    <t>스마트팩토리 소프트웨어의 상호연동을 위한 기능 유닛 평가 방법</t>
    <phoneticPr fontId="1" type="noConversion"/>
  </si>
  <si>
    <t>TC69</t>
    <phoneticPr fontId="1" type="noConversion"/>
  </si>
  <si>
    <t>개발된 표준은 배터리 교환형 전기차의 일발 요구사항을 정의하고 있으며, 유스 케이스로 버스의 상부에서 배터리를 교환하는 한국의 배터리 교환형 전기 버스에 대한 유스 케이스를 포함하고 있음</t>
    <phoneticPr fontId="1" type="noConversion"/>
  </si>
  <si>
    <t>국토부</t>
    <phoneticPr fontId="1" type="noConversion"/>
  </si>
  <si>
    <t>SG16 Q25</t>
    <phoneticPr fontId="1" type="noConversion"/>
  </si>
  <si>
    <t>ITU-T가 정의하고 있는 사물인터넷 관점에서 M2M 서비스 계층에 대한 요구사항을 정의하고 이를 기반으로 한 참조구조를 정의</t>
    <phoneticPr fontId="1" type="noConversion"/>
  </si>
  <si>
    <t>다양한 USN 미들웨어를 지원하는 개방형 USN 서비스 프레임워크의 요구사항을 정의하고, 이에 기반한 참조구조를 정의</t>
    <phoneticPr fontId="1" type="noConversion"/>
  </si>
  <si>
    <t>SG13 Q3</t>
    <phoneticPr fontId="1" type="noConversion"/>
  </si>
  <si>
    <t>사물인터넷의 개념을 정의</t>
    <phoneticPr fontId="1" type="noConversion"/>
  </si>
  <si>
    <t>모바일 RFID 서비스를 위한 코드체계를 정의</t>
    <phoneticPr fontId="1" type="noConversion"/>
  </si>
  <si>
    <t>모바일 RFID 서비스를 위한 코드체계의 등록/할당/관리 절차를 정의</t>
    <phoneticPr fontId="1" type="noConversion"/>
  </si>
  <si>
    <t>모바일 RFID 서비스를 위한 코드체계 해석 프로토콜을 정의</t>
    <phoneticPr fontId="1" type="noConversion"/>
  </si>
  <si>
    <t>SNMP 기반의 센서 네트워크 관리 프레임워크를 정의</t>
    <phoneticPr fontId="1" type="noConversion"/>
  </si>
  <si>
    <t>객체식별자 해석 시스템을 정의</t>
    <phoneticPr fontId="1" type="noConversion"/>
  </si>
  <si>
    <t>객체식별자 해석시스템의 관리기관 및 관리절차를 정의</t>
    <phoneticPr fontId="1" type="noConversion"/>
  </si>
  <si>
    <t>모바일 RFID 서비스를 위한 객체식별자를 정의하고 이를 할당/관리하기 위한 절차를 정의</t>
    <phoneticPr fontId="1" type="noConversion"/>
  </si>
  <si>
    <t>개발된 기술보고서는 스마트시티에서 디지털트윈 기술을 적용하는 best practice를 기술한다. 특히, 새로운 기술들이 도시의 환경문제에 어떻게 대응할 수 있는지에 떄한 사례를 제시한다.</t>
    <phoneticPr fontId="1" type="noConversion"/>
  </si>
  <si>
    <t>SG20 Q1 라포처(이준섭)
SG20 의장(김형준)</t>
    <phoneticPr fontId="1" type="noConversion"/>
  </si>
  <si>
    <t>SG20 Q2</t>
    <phoneticPr fontId="1" type="noConversion"/>
  </si>
  <si>
    <t>개발된 권고안은 도시의 정책결정을 지원하기 위한 스마트시티 디지털 트윈 시스템의 요구사항 및 참조구조를 정의한다.</t>
    <phoneticPr fontId="1" type="noConversion"/>
  </si>
  <si>
    <t>ETRI 출연금사업</t>
  </si>
  <si>
    <t>사물인터넷 및 스마트시티 관련 표준화 로드맵으로 ITU-T 뿐만 아니라 ISO, IEC 등 다른 표준화 기구의 사물인터넷 및 스마트시티 관련 표준의 목록을 포함한다.</t>
    <phoneticPr fontId="1" type="noConversion"/>
  </si>
  <si>
    <t>에디터(이현정)</t>
    <phoneticPr fontId="1" type="noConversion"/>
  </si>
  <si>
    <t>PR20230271(KR/US)</t>
    <phoneticPr fontId="1" type="noConversion"/>
  </si>
  <si>
    <t>Method and apparatus of information exchange for digital twin federation</t>
    <phoneticPr fontId="1" type="noConversion"/>
  </si>
  <si>
    <t>디지털 트윈 연합을 위한 managed P2P 기반 신호 요구사항 정의</t>
    <phoneticPr fontId="1" type="noConversion"/>
  </si>
  <si>
    <t>디지털 트윈 연동 방법 및 장치</t>
    <phoneticPr fontId="1" type="noConversion"/>
  </si>
  <si>
    <t>PR20210311US</t>
    <phoneticPr fontId="1" type="noConversion"/>
  </si>
  <si>
    <t>기본사업</t>
    <phoneticPr fontId="1" type="noConversion"/>
  </si>
  <si>
    <t>디지털 트윈을 위한 SDF의 위치 정보 확장 정의</t>
    <phoneticPr fontId="1" type="noConversion"/>
  </si>
  <si>
    <t>제안중</t>
    <phoneticPr fontId="1" type="noConversion"/>
  </si>
  <si>
    <t>일반 PBS 과제</t>
    <phoneticPr fontId="1" type="noConversion"/>
  </si>
  <si>
    <t>디지털 사이니지 서비스를 제공하기 위한 시스템들을 나열하고 각 시스템들에 대한 내부 구성의 기능적 분류와 각 기능에 대한 동작을 설명한 표준</t>
  </si>
  <si>
    <t>현욱</t>
  </si>
  <si>
    <t>한국/미국</t>
  </si>
  <si>
    <t>네트워크 불안정성과 콘텐츠 저작권 침해등의 기존 P2P의 문제점을 해결하고 P2P의 장점인 높은 확장성과 전송효율을 활용하기 위한 시스템간 관리형 연동 구조 표준</t>
  </si>
  <si>
    <t>관리형 P2P 네트워크 기반의 멀티미디어 스트리밍 서비스 제공을 위한 시그널링 요구사항과 서비스 구조를 정의하는 표준</t>
  </si>
  <si>
    <t>관리형 P2P 네트워킹 인프라를 통한 멀티미디어 스트리밍 서비스를 위한 피어 프로토콜 표준</t>
  </si>
  <si>
    <t>ITU-T X.609에서 정의한 관리형 P2P 통신(Managed P2P communication) 환경에서 콘텐츠를 분산 배포하기 위한 신호방식 요구사항을 정의하는 표준</t>
  </si>
  <si>
    <t>사용자 단말로 구성된 오버레이 네트워크에서 유통되는 콘텐츠를 제어하는 방법 제공하며, 기존 개발된 X.609 시리즈 권고안과의 조합을 위한 프로토콜 표준</t>
  </si>
  <si>
    <t>IETF</t>
  </si>
  <si>
    <t>차세대 네트워크(IPv6)과 현 인터넷과의 연동을 위한 응용 레벨의 변환 기술인 "Bump-in-the-API" (BIA) 기술함</t>
  </si>
  <si>
    <t>신명기</t>
  </si>
  <si>
    <t>차세대 네트워크(IPv6) 전환시 고려해야 하는 응용 측면의 요구사항 및 가이드라인에 대해 기술함</t>
  </si>
  <si>
    <t>IEEE 802.16 (와이브로) 네트워크 상에서 IPv6 도입을 위한 시나리오를 기술함</t>
  </si>
  <si>
    <t>현 네트워크의 문제점을 해결하기 위한 clean-slate 기반의 새로운 미래네트워크에 대한 정의, 목적, 목표 등을 기술함</t>
  </si>
  <si>
    <t>현 네트워크의 문제점을 해결하기 위한 clean-slate 기반의 새로운 미래네트워크에 대한 문제 정의와 요구사항등을 기술함</t>
  </si>
  <si>
    <t>IMT-2020 네트워크의 주요 사양, 네트워크 구조 설계시 고려 사항, 네트워크 기능 및 서비스 프레임워크 정의</t>
  </si>
  <si>
    <t>안병준</t>
  </si>
  <si>
    <t>IMT-2020 네트워크 구조 참조 모델 및 네트워크 서비스 절차 정의</t>
  </si>
  <si>
    <t>본 표준은 클라우드 서비스 사용자(CSC), 클라우드 서비스 제공자(CSP) 및 클라우드 서비스 파트너(CSN)등의 클라우드컴퓨팅 생태계 당사자가 자신의 특정한 요구 사항에 대한 상호 운용성 및 이식성에 대한 공통된 이해를 갖도록 하는 것으로 클라우드 컴퓨팅 상호 운용성 및 이식성의 용어 및 유형을 제공한다.</t>
  </si>
  <si>
    <t>이강찬</t>
  </si>
  <si>
    <t>Cloud computing - Framework and high-level requirements</t>
  </si>
  <si>
    <t>본 표준은 클라우드 컴퓨팅에 대한 고수준 요구사항을 제시하여 클라우드 컴퓨팅 프레임워크를 제공한다. 이 권고안은 클라우드 컴퓨팅의 일반 요구사항과 사용 사례를 다루며, 인프라, 네트워크, 데스크톱, 플랫폼, 통신, 그리고 빅데이터와 같은 다양한 서비스 유형의 요구사항을 제공하며, 인터클라우드 컴퓨팅, 종단 간 클라우드 컴퓨팅 관리, 신뢰할 수 있는 클라우드 서비스, 그리고 클라우드 인프라의 요구사항도 포함한다.</t>
  </si>
  <si>
    <t>NGN convergence service model and scenario using web services</t>
  </si>
  <si>
    <t>본 표준은융합 서비스 모델 및 시나리오를 지원하기 위한 요구사항.
NGN을 위한 웹 서비스 배치 모델. 웹 서비스를 활용한 NGN 융합 서비스 모델과 시나리오를 제공한다.</t>
  </si>
  <si>
    <t>본 표준은 IPTV 서비스에 필요한 웹 기반 
단말 미들웨어, 일반 아키텍처 및 
인터페이스를 정의</t>
  </si>
  <si>
    <t>김성한</t>
  </si>
  <si>
    <t>본 표준은 IPTV 단말 장치의 향상된 사용자 
인터페이스를 지원하기 위한 프레임워크의 
이벤트 특징, 일반 요구 사항 및 기능에 
대해 설명</t>
  </si>
  <si>
    <t>ITU-T H.753</t>
  </si>
  <si>
    <t>본 표준은 인터넷 프로토콜 텔레비전(IPTV) 
서비스를 위한 장면 기반 메타데이터 제안. 
콘텐츠 배포를 위한 장면 기반 메타데이터 
설명, 메타데이터 요소 및 형식을 정의</t>
  </si>
  <si>
    <t>본 표준은 제스쳐 인터페이스를 위한 
손 동작 모양의 인식을 위한 제스쳐 
메타데이터 정의</t>
  </si>
  <si>
    <t>SG16 Q24</t>
  </si>
  <si>
    <t>사물인터넷 스마트미터링 응용서비스를 지원하기 위한 센서네트워킹 기능 요구사항 정의</t>
  </si>
  <si>
    <t>최영환</t>
  </si>
  <si>
    <t>SG17 Q21</t>
  </si>
  <si>
    <t>이종 식별자 및 로케이터 상호연동을 위한 객체식별자 기반 해석 프레임워크로써 구조 및 절차 정의</t>
  </si>
  <si>
    <t>SG20 Q3</t>
  </si>
  <si>
    <t>사물인터넷 환경에서 자원 제약적 디바이스 네트워킹 프로토콜 구조 및 절차 정의</t>
  </si>
  <si>
    <t>SG20 Q2</t>
  </si>
  <si>
    <t>사물인터넷 응용 서비스를 위한 게이트웨이의 공통 기능 요구사항 정의</t>
  </si>
  <si>
    <t>사물인터넷 디바이스 그룹의 식별체계 지원을 위한 객체식별자 기반 해석 프레임워크로써, 해석 시스템 구조 및 해석 절차 정의</t>
  </si>
  <si>
    <t xml:space="preserve">사물인터넷 환경에서 디바이스간 자율 구성 네트워킹을 위한 시스템 구성 및 절차 정의 </t>
  </si>
  <si>
    <t>네트워크 기능 가상화를 위한 VNF와 VNA Manager 간 인터페이스에 대한 프로토콜 정의</t>
  </si>
  <si>
    <t>이종화</t>
  </si>
  <si>
    <t>SG13 Q17</t>
  </si>
  <si>
    <t>클라우드 컴퓨팅 기반의 빅데이 기능 및 요구사항 표준</t>
  </si>
  <si>
    <t>인민교</t>
  </si>
  <si>
    <t>SG13 Q12</t>
  </si>
  <si>
    <t>사물 인터넷 프레임워크</t>
  </si>
  <si>
    <t>김대원</t>
  </si>
  <si>
    <t>하수욱</t>
  </si>
  <si>
    <t>NGN을 위한 open service 
environment (OSE) 구조 표준</t>
  </si>
  <si>
    <t>SG16 Q25</t>
  </si>
  <si>
    <t>사물인터넷 서비스 구조 표준</t>
  </si>
  <si>
    <t>SG13 Q9</t>
  </si>
  <si>
    <t>NGN 환경에서의 IPv6  적용모델 제시</t>
  </si>
  <si>
    <t>박정수</t>
  </si>
  <si>
    <t>국내 하천을 기반으로 원격 수질관리 모델을 제시 (ETRI 기술개발 과제와의 연계표준)</t>
  </si>
  <si>
    <t>SG17 Q6</t>
  </si>
  <si>
    <t>소프트웨어 정의 네트워킹(SDN) 환경에서의 보안 요구사항 제시 (IETF I2NSFWG 문제정의 RFC와의 연계 표준)</t>
  </si>
  <si>
    <t>SG17 Q2</t>
  </si>
  <si>
    <t xml:space="preserve">소프트웨어 정의 네트워킹(SDN) 환경에서의 서비스 함수 체이닝(SFC) 보안 프레임워크 제시 </t>
  </si>
  <si>
    <t>다중 연결환경에서 계층별 리소스 식별 및 연결 모델 제시</t>
  </si>
  <si>
    <t>홍용근(퇴직), 박정수, 유태환</t>
  </si>
  <si>
    <t>SG13 Q7</t>
  </si>
  <si>
    <t>IPv6 주소 기반 식별자와 로케이터 분리 모델 제시</t>
  </si>
  <si>
    <t>박정수, 유태환</t>
  </si>
  <si>
    <t>SG13 Q5</t>
  </si>
  <si>
    <t>식별자와 로케이터 분리 구조 모델 제시(IETF LISP 표준과의 연계 제시)</t>
  </si>
  <si>
    <t>식별자와 로케이터 분리를 위한 요구사항 제시</t>
  </si>
  <si>
    <t>로컬 멀티캐스주소 자동설정 기법 제시 (국내 최초 IPv6 RFC PS(Proposed Standard) 표준)</t>
  </si>
  <si>
    <t>박정수, 신명기, 김형준</t>
  </si>
  <si>
    <t>멀티캐스트 기반 IPTV 컨텐츠 전달을 위한 프레임웍</t>
  </si>
  <si>
    <t>강신각, 이승익</t>
  </si>
  <si>
    <t>모바일 IPTV 기능 요구사항</t>
  </si>
  <si>
    <t>모바일 IPTV 시나리오 및 유즈케이스</t>
  </si>
  <si>
    <t xml:space="preserve">이승익, 강신각 </t>
  </si>
  <si>
    <t>멀티캐스트 기반 IPTV 컨텐츠 전달을 위한 설치 가이드라인</t>
  </si>
  <si>
    <t>스마트 유비쿼터스 네트워크 (SUN) 를 위한 컨텐츠 전달 기능 구조</t>
  </si>
  <si>
    <t>소프트웨어 정의 네트워크 (SDN) 프레임워크</t>
  </si>
  <si>
    <t>이승익</t>
  </si>
  <si>
    <t>소프트웨어 정의 네트워크 (SDN) 기능 구조</t>
  </si>
  <si>
    <t>최태상, 이승익</t>
  </si>
  <si>
    <t>3GPP</t>
  </si>
  <si>
    <t>SA2</t>
  </si>
  <si>
    <t xml:space="preserve">IoT 데이터 전달을 위한 NIDD 기술의 SMF-NEF 연결 해제 서비스 및 프로시져에 관한 절차 (Adding NIDD SMF-NEF Connection Release service and procedures)
</t>
  </si>
  <si>
    <t>5G 시스템에서 네트워크 슬라이싱을 지원하는 기능 및 절차 (Updates to network slicing description, CCNF relocation during registration procedure)</t>
  </si>
  <si>
    <t>하이브리드 P2P 네트워크 기능구조 표준(ITU-T Q.4100)은 기존 X.609 시리즈 권고안을 기반으로 실시간성을 대폭 개선하기 위해 오버레이 네트워크에 데이터 브로드캐스트 백본(Backbone)을 내부적으로 구축하는 기술을 반영함</t>
  </si>
  <si>
    <t>SG11 Q8 라포처(이창규)
SG11 WP2 의장(고남석)</t>
  </si>
  <si>
    <t>네트워크의 안정성 확보를 위해 트리 단절 발생 시 신속한 트리 복구와 손실된 데이터의 복구 절차를 반영함.</t>
  </si>
  <si>
    <t>- PEER AND OPERATING METHOD THEREOF
- METHOD AND APPARATUS FOR RECOVERING MISSING DATA IN MULTI-SOURCE HYBRID OVERLAY NETWORK</t>
  </si>
  <si>
    <t>하이브리드 오버레이 네트워크의 생성, 변경, 삭제, 참여, 탈퇴, 조회 등을 위한 제어 프로토콜을 반영함</t>
  </si>
  <si>
    <t>Federated MEC를 위한 시그널링 구조 모델 및 참조점 정의, 시그널링 구조 모델을 구성하는 각 계층 별 기능 블록 및 요구사항 정의, 각 참조점에 대한 시그널링 요구사항 정의</t>
  </si>
  <si>
    <t>본 표준은 연합 머신러닝 서비스에 대한 
기여도 평가 서비스를 소개하고 
개념, 특성, 요구 사항, 사용 사례를 제공하며 
참조 프레임워크와 공통 기능을 명시</t>
  </si>
  <si>
    <t>국방부</t>
  </si>
  <si>
    <t>본 표준안은 권고안 ITU-T H.703에 정의된 
향상된 사용자 인터페이스(UI) 프레임워크를 
기반으로 제스처 인식 및 인터넷 프로토콜 
TV(IPTV) 단말 장치 제어를 통한 사용자 
상호작용의 향상된 기능을 지원하는 
일반 요구사항, 기능 요소 및 인터페이스 정의</t>
  </si>
  <si>
    <t>본 표준은 인공 신경망에 기반한 감정 지원 
멀티모달 사용자 인터페이스를 위한 
기능 엔티티와 아키텍처 제공</t>
  </si>
  <si>
    <t>본 표준은 지능형 처리가 필요한 사물 
인터넷(IoT) 애플리케이션을 지원하고 
리소스가 제한된 IoT 장치에서 이러한 처리가
 작동할 수 있도록 하는 경량 지능형 
소프트웨어 프레임워크(LISF) 정의</t>
  </si>
  <si>
    <t>본 표준은 카메라 감지 정보(MCSI)에 대한 
메타데이터를 정의하고 자율 모바일 IoT 
디바이스(AMID)에서 작동하는 개별 MCSI의 
특성과 기능을 정의</t>
  </si>
  <si>
    <t>개발 표준특허 기술은 5G 시스템에서 원격 프로비저닝 서비스의 지원을 위한 사용자 단말의 온보딩 방법에 대한 기술로 1개의 표준특허에 반영되어 있음</t>
  </si>
  <si>
    <t>성지훈, 이수환, 신명기</t>
  </si>
  <si>
    <t>- APPARATUS AND METHOD FOR PERFORMING ONBOARDING PROCEDURE FOR REMOTE PROVISIONING</t>
  </si>
  <si>
    <t>PR20210179(KR/US)</t>
  </si>
  <si>
    <t>개발 표준특허 기술은 5G 시스템에서 연합학습을 위한 학습단말 선택방법에 대한 기술로 1개의 표준특허에 반영되어 있음</t>
  </si>
  <si>
    <t>- APPARATUS AND METHOD FOR SELECTING TRAINING UE IN A MOBILE COMMUNICATION SYSTEM</t>
  </si>
  <si>
    <t>PR20220044(KR/US)</t>
  </si>
  <si>
    <t>개발 표준특허 기술은 5G 시스템에서 사용자경로선택정책에 대한 기술로 1개의 표준특허에 반영되어 있음</t>
  </si>
  <si>
    <t>- METHOD FOR PROVISION OF USER POLICY AND DEVICE PERFORMING THE SAME</t>
  </si>
  <si>
    <t>PR20220139(KR/US)</t>
  </si>
  <si>
    <t>개발 표준특허 기술은 5G 시스템에서 단말그룹기반 서비스 지원에 대한 기술로 1개의 표준특허에 반영되어 있음</t>
  </si>
  <si>
    <t>성지훈, 신명기</t>
  </si>
  <si>
    <t>- A METHOD FOR SUPPORTING TERMINAL GROUP BASED SERVICES AND DEVICES PERFORMING THE SAME</t>
  </si>
  <si>
    <t xml:space="preserve">이수환 </t>
  </si>
  <si>
    <t>사물인터넷 및 스마트시티 응용 서비스레서의 블록체인 기반 데이타 관리를 위한 기능요구사항, 참조구조 그리고 운용절차 정의</t>
  </si>
  <si>
    <t>사물인터넷 자원에 할당될 분산원장 트랜젝션을 위한 객체식별자 기반 해석 시스템 구조 및 운용절차 정의</t>
  </si>
  <si>
    <t>사물인터넷 이기종 디바이스_x001D_탐색을 통한 상호운용성 지원 구조 및 절차 정의</t>
  </si>
  <si>
    <t>- DEVICEAND METHOD FOR REMOTE DEVICE PROFILE MANAGEMENT/ IDENTIFICATION FOR INTELLIGENT DISCOVERY
- SERVICE PROFILE DISCOVERY AND CONNECTION MANAGEMENT METHOD FOR INTERWORKING WITH IoT DEVICE</t>
  </si>
  <si>
    <t>사물인터넷 디바이스의 분산환경에서 블록체인 기반의 식별 및 인증 융합 서비스 프레임워크 구조 및 절차 정의</t>
  </si>
  <si>
    <t>사물인터넷 저전력 디바이스를 위한 NFC 저전력 네트워킹 기술 기반의 IPv6 통신을 위한 적응계층 기술 정의</t>
  </si>
  <si>
    <t>- METHOD FOR TRANSMISSION OF IPv6 PACKETS OVER NEAR FIELD COMMUNICATION (NFC) AND DEVICE OPERATING THE SAME</t>
  </si>
  <si>
    <t>사물인터넷 저전력 디바이스를 위한 저전력 네트워킹 기술에 대한 기술 요구사항 및 활용성 기술</t>
  </si>
  <si>
    <t>본 권고안은 클라우드 컴퓨팅의 서비스형 기계학습(Machine Learning as a Service, MLaaS)의 기능 요구사항을 위한 문서로 MLaaS를 지원하기 위한 클라우드 시스템 구조 및 세부 기능을 정의.</t>
  </si>
  <si>
    <t>신성필</t>
  </si>
  <si>
    <t>에디터(신성필)</t>
  </si>
  <si>
    <t>SG13 Q17 라포처(이강찬)</t>
  </si>
  <si>
    <t>SG13 Q18</t>
  </si>
  <si>
    <t>본 권고안은 빅데이터 이력관리 시스템의 기능 구조를 위한 문서로 기존 Y.3602(Functional requirements for data provenance)의 빅데이터 이력관리 시스템의 기능 요구사항을 구현하기 위한 상세 기능 컴포넌트 및 인터페이스 등을 제공.</t>
  </si>
  <si>
    <t>본 부속서는 인공지능과 관련하여 국제 표준화 동향을 소개하고 수집된 표준화 아이템을 분석하여 향후 표준 개발 등에 참고 자료로 활용 가능한 갭분석을 제공.</t>
  </si>
  <si>
    <t>클라우드 기반의 블록체인 서비스 요구사항, 블록체인 플랫폼 기술</t>
  </si>
  <si>
    <t>SYSTEM AND METHOD FOR CONTROLLING TRANSACTION DATA ACCESS</t>
  </si>
  <si>
    <t>클라우드 컴퓨팅에서 컨테이너의 개요 및 기능 요구사항 정의, 컨테이너의 기술 설명, 컨테이너와 클라우드 컴퓨팅 간의 관계,  컨테이너 엔진, 컨테이너 관리 시스템 정의</t>
  </si>
  <si>
    <t>빅 데이터 참조 아키텍처를 정의, 빅 데이터  계층화  프레임워크를 제공, 세부적인 기술로 참조 아키텍처 개념 정의, 빅데이터에 대한 프레임워크 내 기능적 구성요소 및 상세한 기능 정의</t>
  </si>
  <si>
    <t>본 표준은 블록체인과 DLT 시스템에 대한 개념/용어 텍사노미, DLT 시스템 텍사노미, 응용 도메인, 유즈케이스 목적과 경제 활동 섹션에 대한 텍사노미를 정의한다. 또한 블록체인과 DLT 시스템에 대한 개념을 클래스와 속성을 포함하며 개념 간의 관계를 정의하는 온톨로지로 정의한다.</t>
  </si>
  <si>
    <t>이원석, 이강찬</t>
  </si>
  <si>
    <t>SG20 Q4</t>
  </si>
  <si>
    <t>스마트 승강기 원격 모니터링 및 데이터 모델 표준</t>
  </si>
  <si>
    <t>최윤철, 박정수</t>
  </si>
  <si>
    <t>물리/가상공간 간 센싱 데이터의 소유권 관리 모델표준 제시</t>
  </si>
  <si>
    <t>기존 디지털 자산의 공유 및 교환 요구사항 및 유즈케이스 권고안을 확장하여, 최근 이슈가 되고 있는 디지털 자산의 개념을 제시하고, 관련 보급 시나리오를 개발</t>
  </si>
  <si>
    <t>박정수, 최윤철</t>
  </si>
  <si>
    <t>스마트 계약 정형검증을 위한 요구사항 및 구조 제시</t>
  </si>
  <si>
    <t>SG16 WP1 의장(강신각)</t>
  </si>
  <si>
    <t>디지털 자산의 공유 및 교환 요구사항 및 유즈케이스 제시</t>
  </si>
  <si>
    <t>에디터(박정수)</t>
  </si>
  <si>
    <t>스마트 시티와 사물인터넷 환경에서 블록체인을 적용하기 위한 기술 소개</t>
  </si>
  <si>
    <t>서비스 기반 구조에서 NWDAF 의 연동을 지원하는 기능 및 절차 (KI #2,11, New Sol: Support for NWDAF interactions within SBA framework)</t>
  </si>
  <si>
    <t>- METHOD FOR DATA COLLECTION USING MULTIPLE NETWORK DATA ANALYTICS FUNCTIONS DEVICE</t>
  </si>
  <si>
    <t>PR20200191 (KR/US)</t>
  </si>
  <si>
    <t>SA6</t>
  </si>
  <si>
    <t>5G MEC 지원을 위해 EAS 서비스 API 개방을 지원하는 기능 및 절차 (Updates to architectural assumptions for EAS Service APIs enablement),
5G MEC 지원을 위해 EAS 의 동적 활성화를 지원하는 기능 및 절차 (Supporting dynamic EAS instantiation triggering and notifications)</t>
  </si>
  <si>
    <t>ICNRG</t>
  </si>
  <si>
    <t>정보 중심 네트워킹(ICN)의 이름 확인 서비스(NRS)에 대한 기능과 설계 고려 사항을 제공</t>
  </si>
  <si>
    <t>홍정하, 유태완</t>
  </si>
  <si>
    <t>에디터(홍정하)</t>
  </si>
  <si>
    <t>정보 중심 네트워킹(ICN)에서 NRS(이름 확인 서비스) 사용과 관련된 아키텍처 고려 사항과 그 의미를 제공</t>
  </si>
  <si>
    <t>하이브리드 P2P 네트워크를 활용한 기능 기반 비디오 서비스의 개요와 세션 제어 및 비디오 기능 전송을 위한 프로토콜 요구 사항에 대해 기술함</t>
  </si>
  <si>
    <t>하이브리드 P2P 네트워크의 오버레이 서비스 프레임워크 개요, 설계 원칙, 리소스 요소 및 기능에 대해 기술함</t>
  </si>
  <si>
    <t>IMT-2020 네트워크에서 AI 기반 버티컬 서비스 지원을 위한 시그널링 구조 모델 및 참조점 정의, 시그널링 구조 모델을 구성하는 각 계층 별 기능 블록 및 요구사항 정의, AI 플랫폼 서비스 절차들, 각 참조점에 대한 시그널링 요구사항 등 정의</t>
  </si>
  <si>
    <t>사물인터넷 아키텍처를 기반으로 한 자율 운영 지원 프로토콜에 대한 구조를 설명함. 본 권고안은 ITU-T Y.4401에서 명시된 자율 서비스 프로비저닝 및 자율 데이터 운영과 같은 프로토콜을 지원하기 위위해 사물인터넷의 기능 요소와 ITU-T Y.4416에서 확장된 참조 지점을 기반으로 자율 이벤트 관리, 자율 제어, 자율 정책 관리를 지원하기 위한 프로토콜을 명시함</t>
  </si>
  <si>
    <t>TMF Open API를 활용함으로써, IoT 서비스 관리를 위한 프레임워크를 제시함에 따라 다양한 유형의 IoT 플랫폼간 상호 운용성을 제공함</t>
  </si>
  <si>
    <t>이 권고안은 기존 IT 자산을_x001D_재사용하여 새로운 Open API, 즉 IoT 디바이스 데이터를 캡슐화하는 Device Agent를 포함한 다양한 IoT 프로토콜(MQTT, COAP 등)의 관리를 가능하게 함으로써 IoT 디바이스의 라이프사이클을 효과적으로 관리하는 기술은 정의함</t>
  </si>
  <si>
    <t>이 권고안은 사물인터넷을 기반으로 한 서비스 지능 강화를 위한 융합 프레임워크를 설명함. 이는 IoT가 AI, 클라우드, 엣지 컴퓨팅, DLT 및 (빅) 데이터 기술과 통합되어 서비스 지능을 향상시키는 방법을 기술함</t>
  </si>
  <si>
    <t>이 권고안은 3D 지능형 디지털 인간 애플리케이션 시스템의 구축을 위한 프레임워크와 요구 사항을 기술함</t>
  </si>
  <si>
    <t>이 권고안은 엣지 클라우드 기술을 활용하여 디지털 인간 서비스의 멀티미디어 플랫폼의 요구 사항과 아키텍처에 대해 기술함</t>
  </si>
  <si>
    <t>이 권고안은 멀티미디어 서비스를 지원하기 위한 디지털 트윈 플랫폼의 요구 사항과 프레임워크를 기술함</t>
  </si>
  <si>
    <t>이 Supplement는 사물인터넷 융합기술 배경, 개요, 필요성 등을 정의하고  관련 표준화 동향 기술함</t>
  </si>
  <si>
    <t>본 문서는 IPv6가 6LoWPAN 기술을 사용하여 근거리 광 무선 통신 (OWC)에서 전송되는 방법을 기술함</t>
  </si>
  <si>
    <t>본 권고안은 클라우드 컴퓨팅의 서비스형 로보틱스(Robotics as a Service, RaaS)의 기능 요구사항을 위한 문서로 RaaS를 지원하기 위한 클라우드 시스템 구조 및 세부 기능을 정의.</t>
  </si>
  <si>
    <t>본 부속서는 기계학습(ML)과 관련하여 국제 표준화 동향을 소개하고 수집된 표준화 아이템을 분석하여 향후 표준 개발 등에 참고 자료로 활용 가능한 갭분석을 제공.</t>
  </si>
  <si>
    <t>본 권고안은 서비스형 기계학습(Machine Learning as a Service, MLaaS)의 기능 구조를 위한 문서로 기존 Y.3531(Functional requirements for MLaaS)의 기능 요구사항을 구현하기 위한 상세 기능 컴포넌트 및 인터페이스 등을 제공.</t>
  </si>
  <si>
    <t>분산 클라우드의 한 축인 에지 클라우드의 기능 요구사항 정의</t>
  </si>
  <si>
    <t>고수준 분산 클라우드 요구사항에 기반한 분산 클라우드 구조 정의 및 참조 포인트 개발</t>
  </si>
  <si>
    <t>클라우드 컴퓨팅에서 컨테이너 및 컨테이너 관리를 위한 구조 표준 개발</t>
  </si>
  <si>
    <t>에지 클라우드의 기능 구조 및 reference point 개발</t>
  </si>
  <si>
    <t>계획중</t>
  </si>
  <si>
    <t>VISS (Vehicle Information Service Specification) Version2 CORE 표준은 차량 정보 서비스에 관한 중요한 기술 표준으로 차량 내 네트워크의 제어 장치에서 센서로부터 수집된 정보 및 신호에 대한 접근을 관리하고 이러한 정보를 효율적으로 교환하는 방법을 정의함. 본 표준에서 사용하는 차량 데이터 모델은 COVESA의 VSS(Vehilcle Signal Specification)을 사용함.</t>
  </si>
  <si>
    <t>차홍기</t>
  </si>
  <si>
    <t>본 표준은 차량 정보 서비스 사양 버전 2의 전송 바인딩에 대한 표준을 정의함. 본 표준은 HTTPS, Secure WebSocket, MQTT를 포함한 여러 전송 바인딩을 지원함</t>
  </si>
  <si>
    <t>블록체인 기반 자율 조직 네트워킹 구조 제시</t>
  </si>
  <si>
    <t>기개발된 BoT 구조 권고안을 기반으로 블록체인 피어 노드 간 직접네트워킹 기법 제시</t>
  </si>
  <si>
    <t>사물인터넷 환경에서 적용할 수 있는 다양한 블록체인 유즈케이스를 분류하고 제시</t>
  </si>
  <si>
    <t>SDN/NFV 기반 I2NSF 구조에서 NSF 기능 등록 인터페이스를 위한 데이터모델 제시</t>
  </si>
  <si>
    <t>SDN/NFV 기반 I2NSF 구조에서 보안 제어기와 하부 SDN 스위치 노드 간의 위치한 NSF 인터페이스를 위한 데이터모델 제시</t>
  </si>
  <si>
    <t>ISE (Independent 
Submission 
Editor) stream</t>
  </si>
  <si>
    <t>SDN/NFV 환경 하에서 클라우드 기반 보안 서비스를 제공하기 위해, 보안 관리 자동화 구조를 제시</t>
  </si>
  <si>
    <t>SDN/NFV 기반 I2NSF 프레임워크 상의 분석기와 보안 제어기간의 인터페이스 상에 적용된 보안 데이터 모델 제시</t>
  </si>
  <si>
    <t xml:space="preserve">환자 의료 영상에 기반해 3D 프린팅을 위한 3D 모델을 제작하는 과정에서, 인공지능/머신러닝 기술을 이용하여 분할하는 방법에 대해 정의 </t>
  </si>
  <si>
    <t>환자 의료 영상에 기반해 3D 프린팅을 위한 3D 모델을 제작하는 과정에서의 정밀도/정확도 평가를 위한 절차와 방법을 정의</t>
  </si>
  <si>
    <t>IEC</t>
  </si>
  <si>
    <t>웨어러블 기기에 공통적으로 탑재되는 걸음수 측정 기능에 대한 측정 정확도 시험 방법</t>
  </si>
  <si>
    <t>인공지능/머신러닝 의료기기의 성능 평가를 위해 표준화된 성능 모델과 표준화된 성능 평가 프로세스에 대해 정의</t>
  </si>
  <si>
    <t xml:space="preserve">소프트웨어 테스팅 표준인 SQuaRE 시리즈와 연계하며 인공지능 시스템에 대한 테스팅 방법들을 정의  </t>
  </si>
  <si>
    <t>Information Technology — 3D Printing and Scanning — Phantom-based evaluation methods for 3D printing modeling software</t>
  </si>
  <si>
    <t>제안중</t>
  </si>
  <si>
    <t>빅데이터 시스템에서의 데이터 교환 및 공유</t>
  </si>
  <si>
    <t>빅데이터 시스템에서의 데이터 이력관리</t>
  </si>
  <si>
    <t>빅데이터 환경에서 데이터 카탈로그를 위한 요구사항 및 메타데이터 개념 모델</t>
  </si>
  <si>
    <t>SC42 WG2</t>
  </si>
  <si>
    <t>빅데이터 참조 아키텍처 - 유즈케이스 및 관련 요구사항</t>
  </si>
  <si>
    <t>빅데이터를 위한 참조 구조 시리즈에 대한 개요 및 활용방법 제시</t>
  </si>
  <si>
    <t>에디터(하수욱)</t>
  </si>
  <si>
    <t>빅데이터 분석 처리 및 기계학습을 위한 데이터 푬질 확보를 위한 개념 및 품질 모델, 공통 용어 및 유즈케이스를 제시</t>
  </si>
  <si>
    <t xml:space="preserve">IPTV 서비스에서 이용자 행태 측정을 위한 오퍼레이션에 대한 XML 스키마 </t>
  </si>
  <si>
    <t>허미영</t>
  </si>
  <si>
    <t>IPTV 서비스에서 이용자 행태 측정을 위한 데이터 구조체에 대한 XML 스키마</t>
  </si>
  <si>
    <t>IPTV 실시간 TV를 위한 이용자 행태 측정 데이터 구조체에 대한 XML 스키마</t>
  </si>
  <si>
    <t>IPTV 서비스에서 이용자 행태 측정을 위한 메시지 전달 데이터 구조체에 대한 XML 스키마</t>
  </si>
  <si>
    <t>디지털 사이니지 이용자 행태정보를 위한 요구사항, 설정, 오퍼레이션과 메타데이터 기술</t>
  </si>
  <si>
    <t>하이브리드 오버레이 네트워크의 트리 기반 오버레이 네트워크에 대한 피어 프로토콜을 기술함</t>
  </si>
  <si>
    <t>허미영, 현욱</t>
  </si>
  <si>
    <t>에디터(허미영)</t>
    <phoneticPr fontId="1" type="noConversion"/>
  </si>
  <si>
    <t>하이브리드 P2P 프로토콜에서 오버레이 관리 프로토콜에 대한 리소스 엘리먼트 및 메시지 신택스에 대한 확장을 기술함</t>
  </si>
  <si>
    <t>하이브리드 P2P 네트워크를 활용한 기능 기반 비디오 서비스에서 서비스의 속성을 설명하는 리소스 요소와 서비스를 제어하기 위한 프로토콜 메시지 및 매개 변수에 대해 기술함</t>
  </si>
  <si>
    <t>사물인터넷 환경에서의 엣지컴퓨팅 기술의 기능 및 모델 정의</t>
  </si>
  <si>
    <t>홍정하</t>
  </si>
  <si>
    <t>COINRG</t>
  </si>
  <si>
    <t>네트워크 내에서의 컴퓨팅(COIN) 기술의 연구 이슈 정의</t>
  </si>
  <si>
    <t>네트워크 내에서의 컴퓨팅(COIN) 용어 정의</t>
  </si>
  <si>
    <t>SAE International</t>
  </si>
  <si>
    <t>21년에 개정된 SAE J3016 표준에 정의된 자율주행 용어 및 레벨 분류를 수정하여 보완</t>
  </si>
  <si>
    <t>이 권고안은 목적 기반 자율주행차 (PB-ADS-DV: Purpose-Builted ADS-DV)의 범용 인터페이스의 기능적 요구사항을 정의하기 위해 자율주행차(ADS-DV), 목적 기반 차량(PBV: Purpose-Builted Vehicle), 그리고 PB-ADS-DV의 개념을 소개하고, 특징, 요구사항, 및 참조 모델을 명시한다.</t>
  </si>
  <si>
    <t>개발된 표준문서는 차량 게이트웨이 플랫폼에서 자율 주행을 위한 차량 정보의 요구 사항을 명시한다. ITU-T 권고안 F.749.6에서는 자율주행 시스템(ADS)을 위한 차량 정보를 소개한 다음, 소유권별로 자율주행 시스템 전용 차량(ADS-DV)을 표현하기 위한 두 가지 접근 방식을 소개한다. 마지막으로 이 권고안에서는 ADS-DV를 표현하기 위한 두 가지 접근 방식을 지원하기 위한 요구 사항을 명시한다.</t>
  </si>
  <si>
    <t>- 온디맨드 자율주행 모듈화 서비스 제공 방법
- 자율주행 택시 즐겨찾기 지정 서비스 제공 방법</t>
  </si>
  <si>
    <t>PR20210517(KR/US)
PR20210516(KR/US)</t>
  </si>
  <si>
    <t>에디터(차홍기)</t>
    <phoneticPr fontId="1" type="noConversion"/>
  </si>
  <si>
    <t>디지털융합연구소</t>
  </si>
  <si>
    <t>산업에너지융합연구본부</t>
    <phoneticPr fontId="1" type="noConversion"/>
  </si>
  <si>
    <t>본 표준은 안전하고 미래 지향적인 방식으로 응용 프로그램을 제공하기 위한 홈 네트워크 자원 관리 아키텍처의 최소 요구 사항을 명시한다. 이 표준의 목적은 다양한 유형의 홈 네트워크 요소와 프로토콜에서 제공되는 모든 홈네트워크 정보를 수집하고 이 정보의 요소 간 상호 관계를 제공하는 것으로, 홈네트워크 엔티티의 관리를 위한 사용자 요구사항과 기능적 요구사항을 설명한다.</t>
    <phoneticPr fontId="1" type="noConversion"/>
  </si>
  <si>
    <t>손지연, 박호진</t>
    <phoneticPr fontId="1" type="noConversion"/>
  </si>
  <si>
    <t>본 표준은 홈네트워크에서 자원을 관리하기 위한 일반적인 정보 모델과 아키텍처를 명시한다. 홈네트워크 자원은 홈네트워크 서비스를 제공하는 관리 대상 객체이며, 중요한 홈 자원에는 기기, 네트워크 및 서비스 자원이 포함된다.</t>
    <phoneticPr fontId="1" type="noConversion"/>
  </si>
  <si>
    <t>본 표준은 자원 관리 프로세스의 객체 간 및 하나 이상의 관리 응용 프로그램의 객체 간에 전송되는 메시지에 대한 통신 데이터 형식 및 기능을 명시한다.</t>
    <phoneticPr fontId="1" type="noConversion"/>
  </si>
  <si>
    <t>지수영</t>
    <phoneticPr fontId="1" type="noConversion"/>
  </si>
  <si>
    <t>에어모빌리티연구본부</t>
    <phoneticPr fontId="1" type="noConversion"/>
  </si>
  <si>
    <t>장은영</t>
    <phoneticPr fontId="1" type="noConversion"/>
  </si>
  <si>
    <t>ETRI 출연금사업</t>
    <phoneticPr fontId="1" type="noConversion"/>
  </si>
  <si>
    <t>ISO/IEC 10192-4-1:Information technology – Home Electronic System (HES) interfaces – Part 4-1: Common user interface and cluster-to-cluster interface to support
interworking among home cluster systems – Architecture</t>
    <phoneticPr fontId="1" type="noConversion"/>
  </si>
  <si>
    <t>본 표준은 홈 클러스터 시스템 간 상호운용성을 지원하기 위한 공통 사용자 인터페이스 및 클러스터 간 인터페이스의 아키텍처를 명시한다. 이는 홈 클러스터 시스템 간 상호운용 및 이러한 클러스터 시스템이 지원하는 응용 프로그램 간 상호 운용을 가능하게 하는 클러스터 간 인터페이스를 명시하며, 또한 이러한 클러스터 시스템 응용 프로그램에 대한 공통 사용자 인터페이스도 명시한다. 이 공통 사용자 인터페이스는 홈 클러스터 시스템에서 실행되는 응용 프로그램에 액세스하고 모니터링하며 제어하기 위한 사용자 정보 교환을 위한 입력 및 출력 방법을 제공한다.</t>
    <phoneticPr fontId="1" type="noConversion"/>
  </si>
  <si>
    <t>박호진, 이학진</t>
    <phoneticPr fontId="1" type="noConversion"/>
  </si>
  <si>
    <t>RoIS에서는 로봇 서비스 간의 통신 및 상호 운용성을 지원하고 이러한 서비스의 구성을 가능하게 할 수 있도록 로봇 서비스 및 로봇 관련 기능 구성 요소의 의미론적 모델을 제공하기 위한 온톨로지로 CORA(Core Ontology for Robotics and Automation)를 확장한 로봇 서비스 온톨로지를 제시한다. 이 온톨로지는 추상적인 부분부터 부분적으로 물리적 관점에서 에이전트, 서비스, 기능 및 환경을 포함한다. 먼저, 프레임워크를 정의하기 위한 핵심 어휘를 정의하고 로봇 기능 구성 요소 및 인간 로봇 상호 작용에 대한 어휘에 대한 자세한 정의를 설명한다.</t>
    <phoneticPr fontId="1" type="noConversion"/>
  </si>
  <si>
    <t>본 개발표준은 홈 클러스터 시스템 간 상호 운용 및 이러한 클러스터 시스템이 지원하는 응용 프로그램 간 상호 운용을 가능하게 하는 HES(홈 엔터테인먼트 서비스) 게이트웨이의 제어 아키텍처, 사용자 인터페이스 및 서비스 객체를 명시한다.</t>
    <phoneticPr fontId="1" type="noConversion"/>
  </si>
  <si>
    <t>본 개발표준은 홈 클러스터 시스템 간의 상호 운용 및 이러한 클러스터 시스템이 지원하는 응용 프로그램 간의 상호 운용을 가능하게 하는 HES(홈 엔터테인먼트 서비스) 게이트웨이에서 사용자, 인터페이스 및 서비스 객체 간의 메시징을 명시한다.</t>
    <phoneticPr fontId="1" type="noConversion"/>
  </si>
  <si>
    <t>초실감메타버스연구소</t>
  </si>
  <si>
    <t>미디어연구본부</t>
    <phoneticPr fontId="1" type="noConversion"/>
  </si>
  <si>
    <t>HEVC 표준은 이전 표준인 AVC (Advanced Video Coding) 대비 2배의 압축률을 제공하기 위한 비디오 부호화 국제 표준이며, HEVC 표준 내 화면내 예측, 화면간 예측, 양자화 기술, 엔트로피 부호화 기술 분야에 개발 표준기술이 반영되어 있음</t>
    <phoneticPr fontId="1" type="noConversion"/>
  </si>
  <si>
    <t>임성창, 이진호, 정세윤, 이하현, 김종호, 강정원, 최진수</t>
  </si>
  <si>
    <t>USAC(Unified Speech and Audio Coding)은 오디오 압축 코덱으로는 최초로 음성과 오디오를 하나의 단일 코덱으로 압축할 수 있는 표준 기술임</t>
    <phoneticPr fontId="1" type="noConversion"/>
  </si>
  <si>
    <t>이태진, 백승권, 강경옥, 장대영</t>
    <phoneticPr fontId="1" type="noConversion"/>
  </si>
  <si>
    <t>MPEG-H 3D Audio는 다채널/다객체 방송환경에서 UHD급 오디오 서비스를 위한 오디오 코덱 및 시스템 기술로 오디오 압축 및 단말 재현 기술을 포함하고 있는 기술이며 현재 국내 UHD 방송 표준으로 채택되어 사용되고 있는 기술임</t>
    <phoneticPr fontId="1" type="noConversion"/>
  </si>
  <si>
    <t>이태진, 백승권, 이용주,성종모, 서정일</t>
    <phoneticPr fontId="1" type="noConversion"/>
  </si>
  <si>
    <t>남제호</t>
  </si>
  <si>
    <t>ATSC Standard:
Video – HEVC
(A/341)</t>
    <phoneticPr fontId="1" type="noConversion"/>
  </si>
  <si>
    <t>북미 ATSC 3.0 지상파 방송 표준중 HEVC/SHVC 기반 2D/3D 호환형 서비스 표준으로 표준특허에 반영되어 있음</t>
    <phoneticPr fontId="1" type="noConversion"/>
  </si>
  <si>
    <t>김성훈</t>
    <phoneticPr fontId="1" type="noConversion"/>
  </si>
  <si>
    <t>PR20092127EP
PR20150262USa</t>
    <phoneticPr fontId="1" type="noConversion"/>
  </si>
  <si>
    <t>실감소자연구본부</t>
    <phoneticPr fontId="1" type="noConversion"/>
  </si>
  <si>
    <t xml:space="preserve">본 표준은 터치와 인터렉티브 디스플레이의 터치 및 전기적 특성의 측정방법에 대한 표준 문서임 </t>
    <phoneticPr fontId="1" type="noConversion"/>
  </si>
  <si>
    <t>안성덕</t>
    <phoneticPr fontId="1" type="noConversion"/>
  </si>
  <si>
    <t xml:space="preserve">본 표준은 전자종이 디스플레이의 환경시험방법에 대한 표준 문서임 </t>
    <phoneticPr fontId="1" type="noConversion"/>
  </si>
  <si>
    <t xml:space="preserve">본 표준은 유연/신축 반도체 소자 중에서 유연 소자의 전자 이동도, 서브 임계값 스윙 및 문턱 전압의 평가방법에 대한 표준 문서임 </t>
    <phoneticPr fontId="1" type="noConversion"/>
  </si>
  <si>
    <t>류호준</t>
    <phoneticPr fontId="1" type="noConversion"/>
  </si>
  <si>
    <t xml:space="preserve">본 표준은 유연/신축 반도체 소자 중에서 유연 전도성 필름의 면저항 시험방법에 대한 표준 문서임 </t>
    <phoneticPr fontId="1" type="noConversion"/>
  </si>
  <si>
    <t>본 표준은 일반적인 광원 중 유기발광 다이오드 패널의 특성 요구사항들에 대한 표준 문서임.</t>
    <phoneticPr fontId="1" type="noConversion"/>
  </si>
  <si>
    <t>조두희</t>
    <phoneticPr fontId="1" type="noConversion"/>
  </si>
  <si>
    <t>VVC 표준은 이전 표준인 HEVC (High Efficiency Video Coding) 대비 2배의 압축률을 제공하기 위한 비디오 부호화 국제 표준이며, VVC 표준 내 화면내 예측, 화면간 예측, 변환/양자화 기술, 엔트로피 부호화, 인루프 필터 기술 분야에 개발 표준기술이 반영되어 있음</t>
    <phoneticPr fontId="1" type="noConversion"/>
  </si>
  <si>
    <t>강정원, 이진호, 이하현, 임성창</t>
    <phoneticPr fontId="1" type="noConversion"/>
  </si>
  <si>
    <t>- 화면내 부/복호화 방법 및 장치</t>
    <phoneticPr fontId="1" type="noConversion"/>
  </si>
  <si>
    <t>PR20170302</t>
    <phoneticPr fontId="1" type="noConversion"/>
  </si>
  <si>
    <t>미디어연구본부</t>
  </si>
  <si>
    <t>International Committee for Display Metrology (IDMS)</t>
  </si>
  <si>
    <t>Information Display Measurements Standard (IDMS) version 1.2 (MAY 2023)</t>
  </si>
  <si>
    <t>개발된 표준문서는 정보디스플레이 측정 표준으로서 3D &amp; Stereoscopic Display의 깊이 재현 성능 측정을 위하여 디지털 홀로그램을 이용한 CIIR 기반 깊이 측정 및 조정 방법을 명시한다.</t>
  </si>
  <si>
    <t>홀로그래픽 영상에 대한 품질 측정 장치 및 방법</t>
  </si>
  <si>
    <t>이수현</t>
  </si>
  <si>
    <t xml:space="preserve">JPEG Pleno Database - Holography : ETRI’s High Resolution Binary Hologram
http://plenodb.jpeg.org/ </t>
  </si>
  <si>
    <t>Hight-resolution, large scale binary computer-generated phase DH (+mesh) externally hosted by ETRI [100k x 100k px, 0.5µm pitch, 660nm, 41.29mm (17-50mm) reconstruction distance].</t>
  </si>
  <si>
    <t>오관정, 염한주</t>
  </si>
  <si>
    <t>메쉬 기반 초고해상도 컴퓨터 생성 홀로그램 합성 방법 및 장치</t>
  </si>
  <si>
    <t>염한주</t>
  </si>
  <si>
    <t>ATSC3.0 Service Announcement</t>
    <phoneticPr fontId="1" type="noConversion"/>
  </si>
  <si>
    <t>북미 ATSC 3.0 지상파 방송 표준중 HEVC/SHVC 기반 2D/3D 호환형 서비스 코드할당으로  표준특허에 반영되어 있음</t>
    <phoneticPr fontId="1" type="noConversion"/>
  </si>
  <si>
    <t>콘텐츠연구본부</t>
    <phoneticPr fontId="1" type="noConversion"/>
  </si>
  <si>
    <t>IEEE Std 3079-2020 IEEE Standard for Head-Mounted
Display (HMD)-Based Virtual Reality
(VR) Sickness Reduction Technology</t>
    <phoneticPr fontId="1" type="noConversion"/>
  </si>
  <si>
    <t>개발된 표준문서는 HMD를 착용한 사용자가 VR콘텐츠를 체험하는 사용자가 느낄수 있는 VR멀미에 대한 정량화 절차에 대한 표준이다. VR멀미를 저감할 수 있는 베스트프랙티스, VR멀미 평가 절차, MTP(Motion-to-Photon) 지연 측정 방법 및 유무선 네트워크 스펙을 정하고 있다.</t>
    <phoneticPr fontId="1" type="noConversion"/>
  </si>
  <si>
    <t>이범렬,손욱호,이용호,오희석(퇴직)</t>
    <phoneticPr fontId="1" type="noConversion"/>
  </si>
  <si>
    <t>IEEE 3079 WG 의장(이범렬)
IEEE 3079 WG 부의장(손욱호)</t>
    <phoneticPr fontId="1" type="noConversion"/>
  </si>
  <si>
    <t>VR 멀미의 정량적 분석을 위한 대용량 데이터베이스</t>
    <phoneticPr fontId="1" type="noConversion"/>
  </si>
  <si>
    <t>오희석</t>
    <phoneticPr fontId="1" type="noConversion"/>
  </si>
  <si>
    <t>PR20180569US</t>
    <phoneticPr fontId="1" type="noConversion"/>
  </si>
  <si>
    <t>새계 최초의 디지털 휴먼 품질평가 표준 프레임워크, 질문 목록과 평가 방법의 분리에 따라 평가자가 다양한 방법으로 평가 설계 가능, 질문 목록을 업데이트 하면, 다양한 콘텐츠 품질평가 가능</t>
    <phoneticPr fontId="1" type="noConversion"/>
  </si>
  <si>
    <t>이승욱</t>
    <phoneticPr fontId="1" type="noConversion"/>
  </si>
  <si>
    <t>디지털 휴먼의 품질을 평가하기 위한 장치 및 방법</t>
    <phoneticPr fontId="1" type="noConversion"/>
  </si>
  <si>
    <t>PR20220350KRa</t>
    <phoneticPr fontId="1" type="noConversion"/>
  </si>
  <si>
    <t>장성준,방준학,최종우,이해룡(퇴직)</t>
  </si>
  <si>
    <t>SC35</t>
    <phoneticPr fontId="1" type="noConversion"/>
  </si>
  <si>
    <t>제스처를 정의하는 방법에 따라 응용 소프트웨어에서 활용되는 싱글포인트 제스처를 정의함</t>
    <phoneticPr fontId="1" type="noConversion"/>
  </si>
  <si>
    <t>본 표준은 일반적인 광원 중 유기발광 다이오드 광원의 안정성에 대한 것으로 일반적인 요구사항과 시험들에 대한 표준 문서임.</t>
    <phoneticPr fontId="1" type="noConversion"/>
  </si>
  <si>
    <t>본 표준은 IoT 시스템을 위한 반도체 소자의 음향 변화감지 시험방법에 대한 표준 문서임.</t>
    <phoneticPr fontId="1" type="noConversion"/>
  </si>
  <si>
    <t>장대영, 강경옥, 이용주, 유재현</t>
    <phoneticPr fontId="1" type="noConversion"/>
  </si>
  <si>
    <t>원격 협업 환경에서 기계 임무를 효율적으로 처리하기 위한 압축표준임. 즉, 기계 임무 네트워크를 엣지 단과 클라우드 서버 단에 분리 배치하여 협업 처리 하기 위한 분리 부분에서 추출된 특징(Feature)을 효율적으로 전송하기 위한 압축 표준 개발</t>
    <phoneticPr fontId="1" type="noConversion"/>
  </si>
  <si>
    <t>정세윤, 이주영, 김연희</t>
    <phoneticPr fontId="1" type="noConversion"/>
  </si>
  <si>
    <t>개발된 표준문서는 디지털 홀로그래픽 디스플레이의 광학적 측정 방법을 명시한다. 특히 홀로그래픽 디스플레이의 화질 측정 평가를 위한 시각적 해상도(visual resolution)과 스페클 대비(speckle contrast)에 대한 광학적 측정조건 및 측정방법을 명시한다.</t>
    <phoneticPr fontId="1" type="noConversion"/>
  </si>
  <si>
    <t>남제호</t>
    <phoneticPr fontId="1" type="noConversion"/>
  </si>
  <si>
    <t>홀로그램 재현 영상의 공간해상도 측정 평가 방법 및 장치</t>
  </si>
  <si>
    <t>- JPEG Pleno Database - Holography : ETRI’s Phase-Only Hologram  and Numerical Reconstruction Software for Holography
'- Hologram compression technology for complex-valued and phase-only holograms</t>
    <phoneticPr fontId="1" type="noConversion"/>
  </si>
  <si>
    <t>JPEG Pleno Holography 그룹에서 '24년 이후 진행될 Future activities 목표 중 하나로서 위상전용 홀로그램(phase-only hologram)에 대한 압축기법에 대한 표준화 추진 계획</t>
    <phoneticPr fontId="1" type="noConversion"/>
  </si>
  <si>
    <t>개발될 표준문서는 가상세계와 실세계 사이를 인터페이싱하는데 필요한 표준서술 방법을 명시한다. 특히, IEEE 2888.6 표준은 디지털 트윈(Digital Twin) 환경에서 가상객체를 실세계의 홀로그램 형태로 출력하는데 필요한 표준화된 시각화 방법을 명시한다.</t>
    <phoneticPr fontId="1" type="noConversion"/>
  </si>
  <si>
    <t>개발표준 기술은 북미 ATSC 3.0 지상파 방송 표준중 차세대 비디오 케덱인 VVC 기반 2D/3D 호환형 서비스 핵심기술 표준화로 서비스 및 부호화 핵심기술은 표준특허에 반영되어 있음</t>
    <phoneticPr fontId="1" type="noConversion"/>
  </si>
  <si>
    <t>한국 건축 문화재의 BIM 구축을 위한 표준 서술방법을 명시하고, 이와 관현한 industry-specific data model schema (Industry Foundation Classes, IFC), Industry standard Application Programming Interfaces 등 표준에 관련 내용을 반영한다.</t>
    <phoneticPr fontId="1" type="noConversion"/>
  </si>
  <si>
    <t>이지형, 김성현</t>
    <phoneticPr fontId="1" type="noConversion"/>
  </si>
  <si>
    <t>가상환경에서 감성 상호작용을 위한 감정인식 및 교환을 위한 시스템 아키텍쳐 및 데이터 교환 포맷 표준 추진 예정</t>
    <phoneticPr fontId="1" type="noConversion"/>
  </si>
  <si>
    <t>장시환</t>
    <phoneticPr fontId="1" type="noConversion"/>
  </si>
  <si>
    <t>SG16 Q24</t>
    <phoneticPr fontId="1" type="noConversion"/>
  </si>
  <si>
    <t>개발중인 표준 문서는 메타버스 가상공연 프레임워크 분야에서 인터랙티브 가상공연 프레임워크의 휴먼팩터 요소를 설명하고 이를 이용한 사용자 시나리오 및 가상공연 프레임워크 서비스를 위한 구성 요소 및 동적 특징에 관한 내용을 다루고 있음</t>
    <phoneticPr fontId="1" type="noConversion"/>
  </si>
  <si>
    <t>장성준</t>
    <phoneticPr fontId="1" type="noConversion"/>
  </si>
  <si>
    <t>본 표준은 착용형 기기 및 기술에서 착용형 제품을 위한 전기변색 필름의 시험 방법에 대한 표준 문서임.</t>
    <phoneticPr fontId="1" type="noConversion"/>
  </si>
  <si>
    <t>본 표준은 착용형 기기 및 기술에서 착용형 제품을 위한 전기변색 필름의 UV 투과도 및 쌍안정성 시험 방법에 대한 표준 문서임.</t>
    <phoneticPr fontId="1" type="noConversion"/>
  </si>
  <si>
    <t>지능정보연구본부</t>
    <phoneticPr fontId="1" type="noConversion"/>
  </si>
  <si>
    <t>최미란</t>
    <phoneticPr fontId="1" type="noConversion"/>
  </si>
  <si>
    <t>모빌리티로봇연구본부</t>
  </si>
  <si>
    <t>IEEE</t>
  </si>
  <si>
    <t>P1873</t>
  </si>
  <si>
    <t>로봇주행기술/시스템을 구현하기 위해 필요한 로봇지도데이터 표준을 다룬다. 2차원 실내외 환경을 대상으로 하며, 위상지도/격자지도/기하지도를 다룬다. 지도데이터 교환을 위해 XML을 채용하며 지도유효성검증을 위한 스키마를 제공한다.</t>
  </si>
  <si>
    <t>유원필</t>
  </si>
  <si>
    <t>산업부</t>
  </si>
  <si>
    <t>개발된 표준문서는 차량에서 실내 내비게이션을 제공하기 위한 일반사항 및 유즈케이스 등을 정의함</t>
  </si>
  <si>
    <t>유재준</t>
  </si>
  <si>
    <t>개발된 표준문서는 차량에서 실내 내비게이션을 제공하기 위해 요구되는 구성요소 사이의 인터페이스로써 메시지 명세를 정의함</t>
  </si>
  <si>
    <t xml:space="preserve">개발된 표준문서는 차량과 도로인프라 및 VRU간의 주행안전지원관련 메시지 공유를 위한 메시지 셋과 전달 프로토콜 표준에 관한 것이다. </t>
    <phoneticPr fontId="1" type="noConversion"/>
  </si>
  <si>
    <t>최정단</t>
    <phoneticPr fontId="1" type="noConversion"/>
  </si>
  <si>
    <t>MMC-DC</t>
    <phoneticPr fontId="1" type="noConversion"/>
  </si>
  <si>
    <t>본 표준은 사람과 기계사이의 다양한 모드의 인터페이스를 지원하는 대화 표준으로 사람과 기계, 기계와 기계 사이의 자연어 대화가 가능하게 하는 AI 모듈을 정의하고 인터페이스를 정의한다.</t>
    <phoneticPr fontId="1" type="noConversion"/>
  </si>
  <si>
    <t>본 표준은 언어 학습을 위한 자발적인 대화 처리 시스템에 대한 아키텍처, 기능 엔터티 및 인터페이스를 규정하며 다양한 기능적 구성 요소(입/출력 관리, 대화 이해, 이중 대화 관리 및 생성, 대화 지식 관리, 점진적인 대화 지식 학습)를 갖춘 아키텍처를 설명하는 데 중점을 두고 있음.</t>
    <phoneticPr fontId="1" type="noConversion"/>
  </si>
  <si>
    <t>초지능창의연구소</t>
  </si>
  <si>
    <t>입체통신연구소</t>
  </si>
  <si>
    <t>네트워크연구본부</t>
  </si>
  <si>
    <t>SDH와 OTN과 이더넷 전달망의 운용자의 운영 기대를 만족하는 MPLS-TP 선형보호절체 표준이며, ITU-T 요구사항을 지원하고 IETF와 ITU-T에서 공식적으로 채택한 MPLS-TP 선형 보호절체 프로토콜과 동작을 규정함</t>
  </si>
  <si>
    <t>류정동, 정태식</t>
  </si>
  <si>
    <t>SG15 Q9</t>
  </si>
  <si>
    <t>MPLS-TP 선협 보호절체의 구조 및 자동보호절체 프로토콜 동작을 정의</t>
  </si>
  <si>
    <t xml:space="preserve">류정동 </t>
  </si>
  <si>
    <t>IETF와 ITU-T에서 MPLS-TP 선형 보호 절체 표준화가 완료되기 전에 패킷전달망에 비표준으로 사용된 MPLS-TP 선협 보호절체의 구조 및 APS 프로토콜 동작을 기술한 informational 트랙 문서임.</t>
  </si>
  <si>
    <t>MPLS-TP 공유 메시 보호절체의 요구사항을 기술함</t>
  </si>
  <si>
    <t>류정동</t>
  </si>
  <si>
    <t>광전달망(OTN) 링 보호절체의 프로토콜 및 동작을 정의한 문서임</t>
    <phoneticPr fontId="1" type="noConversion"/>
  </si>
  <si>
    <t>정태식</t>
    <phoneticPr fontId="1" type="noConversion"/>
  </si>
  <si>
    <t>보호절체 및 복구 기술에 관련된 용어를 정의한 문서임</t>
  </si>
  <si>
    <t>MPLS-TP 를 위한 MIB 기반 관리 구조와 MPLS-TP 망 관리에 사용되는 다양한 MIB 모듈들이 서로 어떻게 관련되는지를 기술함</t>
  </si>
  <si>
    <t>MPLS-TP 선형보호절체 APS 모드의 초기화 동작을 기술하고 상태천이테이블 관련 수정 사항을 담고 있음</t>
  </si>
  <si>
    <t>MPLS-TP 링 보호절체의 프로토콜 및 동작을 정의한 문서임</t>
  </si>
  <si>
    <t xml:space="preserve">5G시스템에서 액세스 트래픽의 스티어링,스위칭 및 스프리팅 기술을 위한 제어 및 트래픽 처리 기술로 3개의 표준특허에 반영되어 있음. </t>
  </si>
  <si>
    <t>SDH, OTN 등 회선 전달망과 MPLS-TP 등 패킷 전달망에서의 링 보호절체 기능 모델, 특성 및 프로세스를 기술함.</t>
    <phoneticPr fontId="1" type="noConversion"/>
  </si>
  <si>
    <t>네트워크연구본부</t>
    <phoneticPr fontId="1" type="noConversion"/>
  </si>
  <si>
    <t>개발된 표준문서는 시간분할다중방식으로 동작하는 PON네트워크를 모바일 트래픽을 수용하기 위한 필요한 사항들을 명시한다.  ITU-T 권고안 G.sup.66에서는 모바일 트래픽을 수용하기 위한 PON망의 구조와 일반요구사항을 서술하고 광장비와 모바일장비간의 협력대응통신을 통해 PON 망의 상향지연을 저감시키는 방법이 서술되어 있으며, 이 방식에 관한 표준특허가 반영되어 있음.</t>
    <phoneticPr fontId="1" type="noConversion"/>
  </si>
  <si>
    <t>정환석, 두경환, 이한협, 김광옥</t>
    <phoneticPr fontId="1" type="noConversion"/>
  </si>
  <si>
    <t>정환석</t>
    <phoneticPr fontId="1" type="noConversion"/>
  </si>
  <si>
    <t>SG15 Q6</t>
    <phoneticPr fontId="1" type="noConversion"/>
  </si>
  <si>
    <t>Multichannel seeded DWDM applications with
single-channel optical interfaces</t>
    <phoneticPr fontId="1" type="noConversion"/>
  </si>
  <si>
    <t>개발 표준특허 기술은 파장재활용 WDM-PON의 광링크의 ONU측에 사용되는 반사형 반도체 기반 광원의 광출력 특징을 고려한 광 아이마스크 규격으로써 표준문서에 반영되어 있음</t>
    <phoneticPr fontId="1" type="noConversion"/>
  </si>
  <si>
    <t>이한협</t>
    <phoneticPr fontId="1" type="noConversion"/>
  </si>
  <si>
    <t>개발된 표준문서는 RoF(Radio-over-Fiber) 기술을 기반으로 하는 새로운 유형의 광 액세스 네트워크에 관한 것이다. 해당 권고안은 RoF 시스템의 기본 아키텍처와 일반 요구 사항을 포함한다. 또한 권고안은 ODN(광 분배 네트워크)을 통해 국제 이동 통신(IMT) 시스템을 지원하는 아날로그 RoF 시스템에 대한 시스템 개요, 물리 계층 요구 사항, 시스템 요구 사항 및 수동 광 네트워크(PON)와의 공존을 포함한다. 더불어 권고안은  FOD(이물질 잔해) 감지 시스템을 지원하는 아날로그 RoF 시스템에 대한 시스템 개요 및 물리 계층 요구 사항도 포함한다.</t>
    <phoneticPr fontId="1" type="noConversion"/>
  </si>
  <si>
    <t>조승현, 이종현</t>
    <phoneticPr fontId="1" type="noConversion"/>
  </si>
  <si>
    <t>조승현</t>
    <phoneticPr fontId="1" type="noConversion"/>
  </si>
  <si>
    <t>SC86C</t>
    <phoneticPr fontId="1" type="noConversion"/>
  </si>
  <si>
    <t>IEC 62149의 이 표준은 광섬유 모바일 프런트홀 애플리케이션의 RoF(Radio over Fiber) 트랜시버에 대한 성능 사양을 포함
성능 기준은 일반적으로 ITU T 권고 초안 G.9803과 같이 국제적으로 합의된 여러 응용 분야에 대해 잘 지정되어 있음.
이 표준은 RoF 기술을 기반으로 하는 모바일 프론트홀 시스템 구현을 위한 광/전기 인터페이스 사양을 제공.</t>
    <phoneticPr fontId="1" type="noConversion"/>
  </si>
  <si>
    <t>전파연구본부</t>
    <phoneticPr fontId="1" type="noConversion"/>
  </si>
  <si>
    <t>본 표준문서는 무선국의 설치 시 전자파 인체노출량 평가 방법에 관한 것으로,
평균시간감축에 관한 표준특허 1건이 반영되어 있다.</t>
    <phoneticPr fontId="1" type="noConversion"/>
  </si>
  <si>
    <t>김병찬</t>
    <phoneticPr fontId="1" type="noConversion"/>
  </si>
  <si>
    <t>제1420190호(한국)/US8886219(미국)</t>
    <phoneticPr fontId="1" type="noConversion"/>
  </si>
  <si>
    <t>Standard for Information Technology -Telecommunications and information exchange between systems - Wireless Regional Area Networks (WRAN) - Specific requirements - Part 22: Cognitive Wireless RAN Medium Access Control (MAC) and Physical Layer (PHY) specifications: Policies and procedures for operation in the TV Bands</t>
    <phoneticPr fontId="1" type="noConversion"/>
  </si>
  <si>
    <t>개발 기술은 OFDMA 시스템에서 단말 위치, 채널 상태 및 제공하는 서비스의 특징 등을 고려하여 이에 적합한 버스트를 적응적으로 할당할 수 있는 혼합 버스트 할당 방법 및 장치와 이를 지원하기 위한 상향스트림 맵 구성요소(US-MAP IE) 구조에 관한 것이다.</t>
    <phoneticPr fontId="1" type="noConversion"/>
  </si>
  <si>
    <t>황성현, 고광진, 엄중선, 송명선, 김창주</t>
    <phoneticPr fontId="1" type="noConversion"/>
  </si>
  <si>
    <t>황성현</t>
    <phoneticPr fontId="1" type="noConversion"/>
  </si>
  <si>
    <t>SG3</t>
    <phoneticPr fontId="1" type="noConversion"/>
  </si>
  <si>
    <t>개발된 표준문서는 300 MHz ~100 GHz 대역에서 단거리 실외 무선통신 기기 및 근거리 통신망 설계를 위한 전파 데이터 및 예측방법을 권고함. 2019년 개정에서는 밀리미터파 대역의 안테나 빔폭에 따른 경로손실 예측방법을 추가하고, 5.9GHz 및 28GHz 대역에서 100km/h 이상 고속도로 환경에서의 측정결과(stationary distance 등)가 반영되었음</t>
    <phoneticPr fontId="1" type="noConversion"/>
  </si>
  <si>
    <t>김명돈, 이주열, 박재준</t>
    <phoneticPr fontId="1" type="noConversion"/>
  </si>
  <si>
    <t>개발된 표준문서는 300MHz에서 450GHz 대역의 실내 무선통신 기기 및 근거리 통신망(LAN) 설계를 위한 전파 전달 데이터 및 예측 절차를 권고함. 실내 전파환경에서 안테나 빔 폭에 따른 수신파워 변화를 예측하기 위한 예측방법 및 데이터를 제시하고 새로운 관련 섹션을 추가되고, 250~325GHz 대역에서의 실내 복도 및 오피스 환경에 대한 경로손실 측정 데이터를 제시, 권고의 연구 주파수를 최대 450GHz까지 확장 반영되었음</t>
    <phoneticPr fontId="1" type="noConversion"/>
  </si>
  <si>
    <t>김명돈, 이주열, 박재준, 김종호</t>
    <phoneticPr fontId="1" type="noConversion"/>
  </si>
  <si>
    <t>위성통신연구본부</t>
    <phoneticPr fontId="1" type="noConversion"/>
  </si>
  <si>
    <t>Ka 대역 정지궤도 위성망과 통신하는 이동형지구국(ESIM)이 28 GHz 대역 지상 5G 주파수 자원을 보호하도록 기술적, 운용적 방안 개발</t>
    <phoneticPr fontId="1" type="noConversion"/>
  </si>
  <si>
    <t>오대섭</t>
    <phoneticPr fontId="1" type="noConversion"/>
  </si>
  <si>
    <t>제 1, 3지역 1452 - 1492 GHz 대역에서 IMT와 방송위성업무간 공유 연구</t>
    <phoneticPr fontId="1" type="noConversion"/>
  </si>
  <si>
    <t>3GHz 이상 대역에서 HAPS를 이용하는 고정업무 시스템으로부터 타 고정업무 시스템으로 미치는 간섭 평가 방법 권고</t>
    <phoneticPr fontId="1" type="noConversion"/>
  </si>
  <si>
    <t>박종민</t>
    <phoneticPr fontId="1" type="noConversion"/>
  </si>
  <si>
    <t>5,850~7,075MHz 대역에서 주파수 공유 연구에 이용될 HAPS를 이용하는 고정업무용 게이트웨이 회선의 기술/운용 특성 권고</t>
    <phoneticPr fontId="1" type="noConversion"/>
  </si>
  <si>
    <t>SG15 Q11</t>
  </si>
  <si>
    <t xml:space="preserve">OTN(Optical Transport Network) 선형 보호절체의 프로토콜 및 동작을 기술한 G.873.1 권고에 대한 첫 번째 개정 문서이며, 기존 권고에서 working signal 용어와 normal traffic signal 용어에 대한 수정 사항이 추가됨 </t>
  </si>
  <si>
    <t>SG15 부의장(류정동)</t>
  </si>
  <si>
    <t>메트로 전달망(Metro Transport Network, MTN) 경로 계층에서 망 장애 시 트래픽 보호를 위한 선형 보호 절체 기법의 동작을 정의함</t>
  </si>
  <si>
    <t>SG15 부의장(정태식)</t>
  </si>
  <si>
    <t>일반 PBS 과제</t>
  </si>
  <si>
    <t>OTN(Optical Transport Network) 선형 보호절체의 프로토콜 및 동작을 기술한 G.873.1 권고에 대한 개정 문서</t>
  </si>
  <si>
    <t>공유메시보호절체의 제어를 위한 GMPLS 시그널링의 확장 방법을 정의함.</t>
  </si>
  <si>
    <t xml:space="preserve">5G시스템에서 액세스 트래픽의 스티어링,스위칭 및 스프리팅 기술과 시민감 서비스 제공을 위한 제어 및 트래픽 처리 기술기술로 3개의 표준특허에 반영되어 있음. </t>
  </si>
  <si>
    <t>김창기, 강유화</t>
  </si>
  <si>
    <t>- STEERING RULE PROVISION METHOD FOR TRAFFIC DISTRIBUTION IN NETWORK AND NETWORK ENTITY PERFORMING THE SAME
- 5G SYSTEM OPERATING AS TSN BRIDGE AND TRAFFIC TRANSMISSION METHOD
- TIME SYNCHRONIZATION METHOD USING 5G REFERENCE TIME DISTRIBUTION AND NETWORK ENTITY PERFORMING THE SAME</t>
  </si>
  <si>
    <t>3GPP TS 23:502 Procedures for the 5G System (5GS)</t>
  </si>
  <si>
    <t xml:space="preserve">5G시스템에서 액세스 트래픽의 스티어링,스위칭 및 스프리팅 기술과 시민감 서비스 제공을 위한 제어 및 트래픽 처리 기술기술로 4개의 표준특허에 반영되어 있음. </t>
  </si>
  <si>
    <t>- METHOD OF CREATING QoS FLOW FOR TIME SYNCHRONIZATION PROTOCOL IN WIRELESS COMMUNICATION NETWORK
- METHOD FOR PROVIDING TIME SYNCHRONIZATION SERVICE FOR 5G SYSTEM EXTERNAL APPLICATION SERVICE
- APPARATUS AND METHOD FOR PROVIDING EXPOSURE SERVICE OF USER PLANE FOR TIME SENSITIVE COMMUNICATION IN WIRELESS COMMUNICATION SYSTEM
- APPARATUS AND METHOD FOR PROVIDING EXPOSURE SERVICE OF USER PLANE FOR TIME SENSITIVE COMMUNICATION IN WIRELESS COMMUNICATION SYSTEM</t>
  </si>
  <si>
    <t xml:space="preserve"> ITU-T G.sup.71에서는 모바일 트래픽 패턴을 CTI 라는 메세지 형식으로 교환하는 구체적인 방법이 서술되어 있으며, 이 방식에 관해 등록된 ETRI 특허를 표준특허로 추진하고 있음.</t>
    <phoneticPr fontId="1" type="noConversion"/>
  </si>
  <si>
    <t>METHOD OF BANDWIDTH ALLOCATION FOR TRANSMITTING MOBILE DATA AND NETWORK DEVICE (표준특허 원내 심의중)</t>
    <phoneticPr fontId="1" type="noConversion"/>
  </si>
  <si>
    <t>PR20210189(KR/US)</t>
    <phoneticPr fontId="1" type="noConversion"/>
  </si>
  <si>
    <t>802.3ca</t>
    <phoneticPr fontId="1" type="noConversion"/>
  </si>
  <si>
    <t>Standard for Ethernet Amendment: Physical Layer Specifications and  Management Parameters for 25 Gb/s and 50 Gb/s Passive Optical Networks</t>
    <phoneticPr fontId="1" type="noConversion"/>
  </si>
  <si>
    <t>개발 표준특허 기술은 25G/50G-PON 시스템에서 사용하는 25Gb/s 급 NRZ 변조방식의 상하향 광신호의 전송거리  20km를 확보하기 위해 기존 10G-PON의 파장플랜과 차별화된 양방향 O-band 동작파장 설정 기술로 표준 특허에 반영되어 있음</t>
    <phoneticPr fontId="1" type="noConversion"/>
  </si>
  <si>
    <t>이한협, 정환석</t>
    <phoneticPr fontId="1" type="noConversion"/>
  </si>
  <si>
    <t>O-밴드에 포함된 파장 채널을 사용하는 광 네트워크 시스템</t>
    <phoneticPr fontId="1" type="noConversion"/>
  </si>
  <si>
    <t>PR20160748(KR/US)</t>
    <phoneticPr fontId="1" type="noConversion"/>
  </si>
  <si>
    <t>802.3cp</t>
    <phoneticPr fontId="1" type="noConversion"/>
  </si>
  <si>
    <t>개발 표준특허 기술은 단일 광섬유를 이용하여 양방향으로 10Gb/s, 25Gb/s, 50G 광신호를 40km 전송하기 위한 광신호의 파장대역 할당 방법 기술로 표준특허에 반영되어 있음</t>
    <phoneticPr fontId="1" type="noConversion"/>
  </si>
  <si>
    <t>양방향 광액세스를 위한 파장 할당 방법 및 장치</t>
    <phoneticPr fontId="1" type="noConversion"/>
  </si>
  <si>
    <t>PR20190215(KR/US)</t>
    <phoneticPr fontId="1" type="noConversion"/>
  </si>
  <si>
    <t>IEC 63098-4 Ed. 1.0</t>
    <phoneticPr fontId="1" type="noConversion"/>
  </si>
  <si>
    <t>본 문서는 실내 환경에서 전파 음영 지역 없이 높은 대역폭과 낮은 지연 특성을 갖춘 서비스 품질이 보장된 5G 이동통신 서비스를 비용 효율적으로 제공하기 위한 RoF 기반 5G 실내 분산 안테나 시스템(DAS) 네트워크의 성능 표준을 제공한다. 시스템 개요, 시스템 구성, 시스템 요소를 제시하고 각 시스템 요소에 대한 전기적, 광학적 인터페이스를 정의한다. 마지막으로 다운링크 및 업링크 구성에 대한 각 요소의 세부 시스템 성능 사양을 설명한다.</t>
    <phoneticPr fontId="1" type="noConversion"/>
  </si>
  <si>
    <t>조승현, 이준기</t>
    <phoneticPr fontId="1" type="noConversion"/>
  </si>
  <si>
    <t>PR20210279(KR/US)</t>
    <phoneticPr fontId="1" type="noConversion"/>
  </si>
  <si>
    <t>IEC 62149-12 Ed. 1.0</t>
    <phoneticPr fontId="1" type="noConversion"/>
  </si>
  <si>
    <t xml:space="preserve">A-RoF 시스템용 분산 피드백 레이저 다이오드(DFB-LD) 장치는 전기 무선 신호를 광 신호로 변환하는 데 사용된다. IEC 62149의 이 부분은 A-RoF 시스템의 DFB-LD 장치에 대한 성능 사양을 다룹니다. 광학 및 전기 성능 기준은 일반적으로 ITU-T 권장 사항 G.9803 및 IEC 62149-10과 같이 국제적으로 합의된 여러 응용 분야에 대해 잘 지정되어 있다. 이 표준은 RoF 송수신기 구현을 위한 광학 및 전기 성능 사양을 제공하는 것을 목표로 한다. </t>
    <phoneticPr fontId="1" type="noConversion"/>
  </si>
  <si>
    <t>PR20210283(KR/US)</t>
    <phoneticPr fontId="1" type="noConversion"/>
  </si>
  <si>
    <t>IEC 62148-15 Ed. 3.0</t>
    <phoneticPr fontId="1" type="noConversion"/>
  </si>
  <si>
    <t>광섬유 레이저 장치는 전기 신호를 광 신호로 변환하는 데 사용됩니다. 이 표준은 VCSEL(Discrete Vertical Cavity Surface Emitting Laser) 패키지의 물리적 치수와 인터페이스를 다루고 있다.</t>
    <phoneticPr fontId="1" type="noConversion"/>
  </si>
  <si>
    <t>IEC61000-4-20: Electromagnetic compatibility(EMC)-Part 4-20: Testing and measurement techniques-Emission and inmunity testing in transverse electromagnetic(TEM) waveguides</t>
    <phoneticPr fontId="1" type="noConversion"/>
  </si>
  <si>
    <t>개발 표준 기술은 전자파 양립성에 방사 및 내성 테스트를 위한 대용시설로 이용할 수 있는 4-포트 TEM waveguide로 특허가 반영되었음</t>
    <phoneticPr fontId="1" type="noConversion"/>
  </si>
  <si>
    <t>전상봉,박승근,최성웅,윤재훈(퇴직)</t>
    <phoneticPr fontId="1" type="noConversion"/>
  </si>
  <si>
    <t>- 직선형 결합 전송 선로 셀</t>
    <phoneticPr fontId="1" type="noConversion"/>
  </si>
  <si>
    <t>윤재훈</t>
    <phoneticPr fontId="1" type="noConversion"/>
  </si>
  <si>
    <t>PR19980182(KR/JP)</t>
    <phoneticPr fontId="1" type="noConversion"/>
  </si>
  <si>
    <t>포기/포기</t>
    <phoneticPr fontId="1" type="noConversion"/>
  </si>
  <si>
    <t>ITU-T Supplement K.29: EMF strength inside and outside of electric vehicle using wireless power transfer (WPT) technology</t>
    <phoneticPr fontId="1" type="noConversion"/>
  </si>
  <si>
    <t>무선전력전송기술을 사용하는 전기자동차 내/외부에서의 전자파 인체노출량 평가 및 결과</t>
    <phoneticPr fontId="1" type="noConversion"/>
  </si>
  <si>
    <t>김강희</t>
    <phoneticPr fontId="1" type="noConversion"/>
  </si>
  <si>
    <t>ITU-R SM.2485-0: Use of commercial drones for ITU-Rspectrum monitoring tasks</t>
    <phoneticPr fontId="1" type="noConversion"/>
  </si>
  <si>
    <t xml:space="preserve">본 표준문서는 전파감시를 위한 목적으로 드론을 활용함에 있어 드론이 갖추처야 할 기술적 규격, 기능적 요구사항, 안전 요구 사항 및 실제 할용 사례에 관한 내용을 담고 있다 </t>
    <phoneticPr fontId="1" type="noConversion"/>
  </si>
  <si>
    <t>Standard for Information Technology-Telecommunications and Information Exchange Between Systems Local and Metropolitan Area Networks--Specific Requirements Part 11: Wireless LAN Medium Access Control (MAC) and Physical Layer (PHY) Specifications, Amendment: Wake-up radio operation</t>
    <phoneticPr fontId="1" type="noConversion"/>
  </si>
  <si>
    <t>개발 기술은 무선랜에서 저전력 동작을 지원하는 스테이션을 위한 액세스 포인트의 탐색 기술에 관한 것이다.</t>
    <phoneticPr fontId="1" type="noConversion"/>
  </si>
  <si>
    <t>황성현, 김이고르, 강규민, 박승근</t>
    <phoneticPr fontId="1" type="noConversion"/>
  </si>
  <si>
    <t>- METHOD FOR DISCOVERING ACCESS POINT IN WIRELESS LOCAL AREA NETWORK AND APPARATUS FOR THE SAME</t>
    <phoneticPr fontId="1" type="noConversion"/>
  </si>
  <si>
    <t>한국/미국/유럽/중국</t>
    <phoneticPr fontId="1" type="noConversion"/>
  </si>
  <si>
    <t>PR20160566</t>
    <phoneticPr fontId="1" type="noConversion"/>
  </si>
  <si>
    <t>ITU-R P.1411-11: Propagation data and prediction methods for the planning of short-range outdoor radiocommunication systems and radio local area networks in the frequency range 300 MHz to 100 GHz</t>
    <phoneticPr fontId="1" type="noConversion"/>
  </si>
  <si>
    <t>개발된 표준문서는 300 MHz ~100 GHz 대역에서 단거리 실외 무선통신 기기 및 근거리 통신망 설계를 위한 전파 데이터 및 예측방법을 권고함. 2021년 개정에서는 고속도로에서의 V2V (Vehicle to Vehicle) 통신, 고속철도에서의 밀리미터파 통신환경 등 100Km/h 이상 다양한 고속통신 환경 하에서 stationary distance, 지연확산, K-factor 등 다양한 전파특성에 대한 5.9㎓ 및 28㎓ 측정결과가 반영되었음. 또한 국내 도심환경에서의 경로손실 측정결과를 기반으로 권고상의 Site-general 경로손실 모델의 주파수 범위(기존 LoS 73㎓, NLoS 38㎓ 범위)를 최대 82㎓까지 확장이 반영되었음</t>
    <phoneticPr fontId="1" type="noConversion"/>
  </si>
  <si>
    <t>SG3 WP3K DG3K3A 의장(김명돈)</t>
    <phoneticPr fontId="1" type="noConversion"/>
  </si>
  <si>
    <t>개발된 표준문서는 300MHz에서 450GHz 대역의 실내 무선통신 기기 및 근거리 통신망(LAN) 설계를 위한 전파 전달 데이터 및 예측 절차를 권고함. 기존 권고 P.1238의 경로손실 모델은 Site-specific 경로손실로 정의하고 지향성 안테나를 이용한 측정데이터 테이블들은 권고 상에서 재정렬하고, 한국이 제시한 340㎓ 및 410㎓ 대역의 실내 오피스 및 복도 환경에 대한 경로손실 측정 결과가 반영되었음</t>
    <phoneticPr fontId="1" type="noConversion"/>
  </si>
  <si>
    <t>김명돈, 이주열, 박재준, 김종호, 김청섭</t>
    <phoneticPr fontId="1" type="noConversion"/>
  </si>
  <si>
    <t>위성통신연구본부</t>
  </si>
  <si>
    <t>ITU-R</t>
  </si>
  <si>
    <t>SG4</t>
  </si>
  <si>
    <t>본 ITU-R 질의서는 ITU-R에서 수행할 위성 OBP 기술에 대한 연구 범위를 명시한다.</t>
  </si>
  <si>
    <t>김희욱</t>
  </si>
  <si>
    <t>SG4</t>
    <phoneticPr fontId="1" type="noConversion"/>
  </si>
  <si>
    <t xml:space="preserve">Recommendation ITU-R S.2158 Methodology for examining the compliance of an aeronautical earth station in motion communicating with geostationary space stations in the fixed-satellite service in the 27.5-29.5 GHz band with a set of pre-established pfd limits on the Earth's surface  </t>
    <phoneticPr fontId="1" type="noConversion"/>
  </si>
  <si>
    <t>WRC-19에서 제정된 Resolutiomn 169 후속조치로 항공기 ESIM의 전력속밀도 제한값 준수 여부를 검증하는 방법 개발</t>
    <phoneticPr fontId="1" type="noConversion"/>
  </si>
  <si>
    <t>APG</t>
    <phoneticPr fontId="1" type="noConversion"/>
  </si>
  <si>
    <t xml:space="preserve">WRC-23 agenda item 1,16 </t>
    <phoneticPr fontId="1" type="noConversion"/>
  </si>
  <si>
    <t>Ka 대역 비정지궤도 위성 시스템과 통신하는 이용형 지구국의 운용 조건에 대한 아태지역 공동 입장 개발</t>
    <phoneticPr fontId="1" type="noConversion"/>
  </si>
  <si>
    <t>WRC-23 agenda item 1,15</t>
    <phoneticPr fontId="1" type="noConversion"/>
  </si>
  <si>
    <t>12.75 - 13.25 GHz 대역 정지궤도 위성망과 통신하는 항공, 해상 이동형지구국 운용 방안 연구</t>
    <phoneticPr fontId="1" type="noConversion"/>
  </si>
  <si>
    <t>WRC-23 agenda item 1,18</t>
    <phoneticPr fontId="1" type="noConversion"/>
  </si>
  <si>
    <t>3 GHz 대역 이하 협대역 이동위성업무 주파수 분배 연구</t>
    <phoneticPr fontId="1" type="noConversion"/>
  </si>
  <si>
    <t>구본준, 오대섭</t>
    <phoneticPr fontId="1" type="noConversion"/>
  </si>
  <si>
    <t>AWG</t>
    <phoneticPr fontId="1" type="noConversion"/>
  </si>
  <si>
    <t>APT/AWG/Rep-135 APT Report on Ka-band satellite systems for use in the Asia Pacific region and considerations for development of national frequency plans</t>
    <phoneticPr fontId="1" type="noConversion"/>
  </si>
  <si>
    <t>아태지역 국가들의 Ka 대역 위성통신 시스템 운용 정보 및 국내 주파수 계획 개발에서 Ka 대역 위성 통신 이용에 대한 고려 사항 개발</t>
    <phoneticPr fontId="1" type="noConversion"/>
  </si>
  <si>
    <t>SG 4</t>
    <phoneticPr fontId="1" type="noConversion"/>
  </si>
  <si>
    <t>Q/V 대역에서 정지궤도 위성망의 보호를 보장하기 위해  비정지궤도위성시스템의 전파규칙 제22.5L호 규정 준수 적합성 평가 절차를 제공</t>
    <phoneticPr fontId="1" type="noConversion"/>
  </si>
  <si>
    <t>이동통신연구본부</t>
    <phoneticPr fontId="1" type="noConversion"/>
  </si>
  <si>
    <t>개발중인 표준기술은 3GPP의 무선 전송을 위한 AI/ML (Artificial Intelligence/Machine Learning) 프레임워크 기술 및 세부 사용사례인 CSI (Channel State Information) 피드백, 빔 관리, 그리고 측위 정밀도 향상을 위한 기술이며, 반영을 추진할 표준문서는 물리 채널 및 변조에 대한 규격문서 TS 38.211, 다중화 및 채널 부호에 대한 규격문서 TS 38.212, 제어 동작의 물리계층 절차에 대한 규격문서 TS 38.213, 그리고 데이터 채널의 물리계층 절차에 대한 규격문서 TS 38.214임.</t>
  </si>
  <si>
    <t xml:space="preserve">개발중인 표준기술은 5G-Advanced 네트워크 에너지 절감과 관련된 기술로 네트워크 에너지 절감을 위한 RRC Inactive-Idle UE 제어 방법 및 Cell DTX-DRX와 관련된 이슈에 대한 기고 </t>
  </si>
  <si>
    <t>O-RAN Alliance</t>
  </si>
  <si>
    <t>개발 표준문서는 Near-RT RIC의 RAN 제어 동작을 위한 E2 서비스 모델 (E2SM)을 규격화하고 있으며, 문서의 목적은 RAN 제어 기능과 관련하여 E2AP에서 규정하고 있는 모든 필드의 내용을 정의하는 것이다. 개발 표준특허 기술은 RAN 제어 기능 중에서도 O-RAN에서 빔 관리 절차가 동작될 때 E2 인터페이스 상에서 필요한 빔 관리 관련 RAN 제어 방법을 제시하고 있다.</t>
  </si>
  <si>
    <t>개발 표준문서는 AI/ML 지원을 향상시켜 무선 인터페이스를 강화함으로써 얻을 수 있는 이점을 살펴보고, 성능, 복잡성 및 잠재적인 규격 영향과 같은 측면에서 목표하는 적용 사례에 해당하는 무선 인터페이스를 위해 AI/ML을 위한 3GPP 프레임워크에 대해 연구한다. 개발 표준특허 기술은 특히 목표하는 적용 사례중 빔 관리와 관련하여 3GPP 프레임워크에서 AI/ML을 지원하는 방법을 제시하고 있다.</t>
  </si>
  <si>
    <t xml:space="preserve">본 표준은 미세 메트로 전달망(fine grain Metro Transport Network)의 1+1 선형보호절체의 동작을 정의함. </t>
  </si>
  <si>
    <t>서로 다른 시간확정적 애플리케이션 레벨이 공종하고 전달 범위가 광역화된 대규모 시간확정형 네트워크의 요구 사항을 정의함</t>
  </si>
  <si>
    <t>시간확정형 네트워킹(Deterministic Networking, DetNet) 플로우를 설정과 동작을 위한  YANG 데이터 모델을 정의함</t>
  </si>
  <si>
    <t>대규모 네트워크를 위한 비동기식 시간확정형 네트워크에서 네트워크 노드의 시간 동기 없이 지연과 지터 한계를 보장하기 위한 작업절약형 무상태 코어 페어 큐잉의 동작을 정의함</t>
  </si>
  <si>
    <t>대규모 네트워크를 위한 비동기식 시간확정형 네트워크 프레임워크를 제시함</t>
  </si>
  <si>
    <t>PR20211065KR</t>
  </si>
  <si>
    <t xml:space="preserve">유계 지연 보장을 위하여 세그먼트 라우팅을 활용하여 세그먼트 라우팅 식별자(SID)에 사이클을 명시하는 Cycle Specified Queuing and Forwarding (CSQF) 방식을 정의함 </t>
  </si>
  <si>
    <t>IEEE 802 기반 네트워크에서 사용되는 순환 큐잉과 전달(CQF, Cyclic Queuing and Forwarding) 기술을 대규모 시간확정형 네트워크(DetNet, Deterministic Network)에 적용하기 위한 Tagged Cyclic Queuing and Forwarding (TCQF) 방식을 정의함</t>
  </si>
  <si>
    <t xml:space="preserve">5G시스템에서 시민감 서비스 제공을 위한 제어 및 트래픽 처리 기술로 3개의 표준특허에 반영되어 있음. </t>
  </si>
  <si>
    <t>TR103-5</t>
    <phoneticPr fontId="1" type="noConversion"/>
  </si>
  <si>
    <t>300GHz 대역의 광자 보조 THz 이하 전송 기술은 다가오는 6G나 B6G 시대에 대표적으로 활용될 수 있는 무선 전송 기술의 일종이다. 300GHz 대역을 활용하면 수십 GHz의 전송 대역폭을 확보하고 최대 100Gbps 이상의 사용자 처리량을 제공할 수 있다. 또한, 성숙된 광자 부품과 전송 기술을 활용하여 현재 경쟁하는 전자 보조 THz 전송 기술에 비해 전송 속도가 상대적으로 빠르고 전송 거리가 길다. 본 기술보고서의 목적은 300GHz 대역의 광자 보조 THz 전송 기술에 대한 다양한 정보를 제공하는 것입니다.</t>
    <phoneticPr fontId="1" type="noConversion"/>
  </si>
  <si>
    <t>조승현, 문상록, 성민규, 김언상, 김수연, 이원경, 김승환</t>
    <phoneticPr fontId="1" type="noConversion"/>
  </si>
  <si>
    <t>5G-Adv/6G 모바일 코어 구조</t>
  </si>
  <si>
    <t>전파연구본부</t>
  </si>
  <si>
    <t>IEC 61000-4-23</t>
    <phoneticPr fontId="1" type="noConversion"/>
  </si>
  <si>
    <t>개정하고자 하는 표준 문서는 핵 및 비핵 EMP 등 방사성 고출력 전자파 위협으로부터 장비를 보호하기 위한 보호 소자의 성능평가 방법에 대한 표준이며, 본 연구과제에서 개발된 표준문서는 대형 건물 등 장비가 배치되는 시설의 고출력 전자파 취약성을 평가하는 방법에 대한 내용이다.</t>
    <phoneticPr fontId="1" type="noConversion"/>
  </si>
  <si>
    <t>형창희, 황정환, 권종화</t>
    <phoneticPr fontId="1" type="noConversion"/>
  </si>
  <si>
    <t>IEC62232 개정을 위해 준비된 CDV 문서에 대한 의견을 기고한 내용으로 제시된 의견이 논의를 위해 반영됨</t>
    <phoneticPr fontId="1" type="noConversion"/>
  </si>
  <si>
    <t>IEC62232 개정을 위해 준비된 CD 문서에 대한 의견을 기고한 내용으로 제시된 의견이 논의를 위해 반영됨</t>
    <phoneticPr fontId="1" type="noConversion"/>
  </si>
  <si>
    <t>SG1</t>
    <phoneticPr fontId="1" type="noConversion"/>
  </si>
  <si>
    <t>김병찬, 김강희</t>
    <phoneticPr fontId="1" type="noConversion"/>
  </si>
  <si>
    <t>개발 기술에서 액세스 포인트는 스테이션들 간의 직접 통신을 위한 구간을 스테이션들에 설정할 수 있다. 스테이션들은 액세스 포인트에 의해 설정된 구간에서 직접 통신을 수행할 수 있다. 스테이션들 간의 직접 통신이 실패한 경우, 액세스 포인트는 해당 직접 통신을 제어함으로써 통신(예를 들어, 직접 통신)을 재개 및/또는 종료할 수 있다. 따라서 스테이션들 간의 직접 통신은 효율적으로 수행될 수 있다.</t>
    <phoneticPr fontId="1" type="noConversion"/>
  </si>
  <si>
    <t>황성현, 강규민</t>
    <phoneticPr fontId="1" type="noConversion"/>
  </si>
  <si>
    <t xml:space="preserve">개발된 표준문서는 300 MHz ~100 GHz 대역에서 단거리 실외 무선통신 기기 및 근거리 통신망 설계를 위한 전파 데이터 및 예측방법을 권고함. </t>
    <phoneticPr fontId="1" type="noConversion"/>
  </si>
  <si>
    <t>김명돈</t>
    <phoneticPr fontId="1" type="noConversion"/>
  </si>
  <si>
    <t xml:space="preserve">개발된 표준문서는 300MHz에서 450GHz 대역의 실내 무선통신 기기 및 근거리 통신망(LAN) 설계를 위한 전파 전달 데이터 및 예측 절차를 권고함. </t>
    <phoneticPr fontId="1" type="noConversion"/>
  </si>
  <si>
    <t>WP5D</t>
    <phoneticPr fontId="1" type="noConversion"/>
  </si>
  <si>
    <t>Technical feasibility of IMT in bands above 100GHz</t>
    <phoneticPr fontId="1" type="noConversion"/>
  </si>
  <si>
    <t>본 보고서는 테라헤르츠 대역의 이동통신 활용 연구 일환으로 100GHz 이상 대역에 대한 전파채널 특성, 신규 유망 기술 등에 대하여 기술하였다.</t>
    <phoneticPr fontId="1" type="noConversion"/>
  </si>
  <si>
    <t>박재준, 김명돈, 이주열</t>
    <phoneticPr fontId="1" type="noConversion"/>
  </si>
  <si>
    <t>SA1</t>
    <phoneticPr fontId="1" type="noConversion"/>
  </si>
  <si>
    <t xml:space="preserve">개발중인 표준기술은 3GPP Rel-20 5G Satellite Access Phase 4에 해당되며, 위성을 이용한 Mission Critical Service, Multicast Service, Multi-Orbit 통신 서비스, Private Network 구성 방안들에 대한 시스템 요구사항을 제시한다. </t>
    <phoneticPr fontId="1" type="noConversion"/>
  </si>
  <si>
    <t>신재승</t>
    <phoneticPr fontId="1" type="noConversion"/>
  </si>
  <si>
    <t>NR network-controlled repeater(NCR)에 대한 access link 빔 지시, control link 빔 지시, backhaul link 빔 지시 및 NCR ON-OFF 지시를 수행하기 위한 L1/L2/L3 규격 지원</t>
    <phoneticPr fontId="1" type="noConversion"/>
  </si>
  <si>
    <t>노훈동</t>
  </si>
  <si>
    <t>Half-duplex 단말 만을 가정하여 기지국 full duplex 를 수행하는 SBFD 지원을 위한 시간/주파수 자원할당, 간섭관리, 채널상태정보 보고 등에 대한 연구 결과 수록</t>
    <phoneticPr fontId="1" type="noConversion"/>
  </si>
  <si>
    <t>개방형 프론트홀 인터페이스 기능 향상을 위한 CUS 및 M-Plane 규격 개발 (WG4), 차세대 오픈랜 Study (nGRG)</t>
    <phoneticPr fontId="1" type="noConversion"/>
  </si>
  <si>
    <t>이재승</t>
  </si>
  <si>
    <t>3GPP의 NTN(위성 등을 포함한 비지상 네트워크) 무선 전송을 위한 기술로써 다운링크/업링크 커버리지 향상, 네트워크 기반 단말 위치 검증, 상향링크 전송률 향상 등을 위한 규격 개발</t>
    <phoneticPr fontId="1" type="noConversion"/>
  </si>
  <si>
    <t>김지형, 유덕현</t>
  </si>
  <si>
    <t>Idle/inactive mode 이동성 관련, 주로 단말의 절전 효과를 높일 수 있는 지상네트워크 정보의 시그널링 방법을 제안하고 있음. Connected mode 이동성 관련, satellite Switch with Re-sync 시나리오에서 target satellite으로 satellite switch 이후의 랜점 접속을 생략하여 랜덤접속 채널 congestion 문제를 해결할 수 있는 시그널링 방법을 제안하고 있음.;
3GPP NR 기반 위성통신 지원을 위한 L2 규격 지원</t>
    <phoneticPr fontId="1" type="noConversion"/>
  </si>
  <si>
    <t>조승권, 윤미영</t>
  </si>
  <si>
    <t>RAN1</t>
    <phoneticPr fontId="1" type="noConversion"/>
  </si>
  <si>
    <t>개발중인 표준문서는 NTN에서 네트워크에 의한 사용자의 위치 검증기술을 위한 UE 및 gNB의 Rx-Tx time difference measurement에 관한 규격을 명시한다.</t>
    <phoneticPr fontId="1" type="noConversion"/>
  </si>
  <si>
    <t xml:space="preserve">개발중인 표준문서는 NTN의 UL 셀 커버리지 확장을 위한 PUCCH for Msg4 HARQ-ACK의 반복 전송 방법에 대한 절차 규격을 명시한다.  </t>
    <phoneticPr fontId="1" type="noConversion"/>
  </si>
  <si>
    <t>RAN2</t>
    <phoneticPr fontId="1" type="noConversion"/>
  </si>
  <si>
    <t>개발되고 있는 표준문서는 NTN cell reselection 및 Handover 등 NTN mobility 관련 RRC, MAC 및 UE 절차 규격을 명시한다.</t>
    <phoneticPr fontId="1" type="noConversion"/>
  </si>
  <si>
    <t>김희욱, 이경락, 조인섭</t>
    <phoneticPr fontId="1" type="noConversion"/>
  </si>
  <si>
    <t>Ka 대역 비정지궤도 위성 시스템과 통신하는 이용형 지구국의 운용 조건 개발</t>
    <phoneticPr fontId="1" type="noConversion"/>
  </si>
  <si>
    <t>구본준</t>
    <phoneticPr fontId="1" type="noConversion"/>
  </si>
  <si>
    <t>1,240-1,300㎒ 대역 전체 또는 일부를 자국 영토 내에서 아마추어 및 아마추어위성업무 무선국 운용을 허가하거나 계속 운용하길 원하는 주관청들이 동 대역의 무선항행위성업무(우주대지구)를 보호하기 위한 지침으로 활용할 수 있도록 아마추어 및 아마추어위성업무 무선국에 적용될 기술 및 운용 수단을 명시함</t>
    <phoneticPr fontId="1" type="noConversion"/>
  </si>
  <si>
    <t>인공지능컴퓨팅연구소</t>
  </si>
  <si>
    <t>사이버보안연구본부</t>
  </si>
  <si>
    <t>커넥티드 차량 환경에서의 보안 위협 정의</t>
  </si>
  <si>
    <t>이상우</t>
  </si>
  <si>
    <t>SG17 Q13 라포쳐(이상우)</t>
  </si>
  <si>
    <t>V2X 통신환경에서의 보안위협, 보안요구사항, 구현고려사항 정의한 표준으로서, 통신형태에 따른 보안 기능 정의 및 군집주행서비스 등록 절차를 정의하는 표준특허에 반영되어 있음</t>
  </si>
  <si>
    <t>차량접속디바이스의 보안요구사항 정의하는 것으로 무선키, 차량통신, 디버그 인터페이스를 통하여 차량에 접속하고자 하는 디아비스의 보안요구사항을 정의함</t>
  </si>
  <si>
    <t>차내망에서의 침입탐지시스템 구현 방법 정의하는 표준으로서 특히, CAN(Controller-Area-Network)에서의 침입탐지방법을 정의함.</t>
  </si>
  <si>
    <t>차내망에서의 침입방지시스템 구현 방법 정의하는 표준으로서, 차내망에 침입이 발생했을 때의 대응방법을 정의함</t>
  </si>
  <si>
    <t>차량의 사고기록정보 및 주행주체정보를 안전하게 클라우드로 전송하는 방법을 정의하는 표준으로, 서비스 등록 절차의 1개의 표준특허가 반영되어 있음</t>
  </si>
  <si>
    <t>APPARATUS AND METHOD FOR CLOUD-BASED VEHICLE DATA SECURITY MANAGEMENT</t>
  </si>
  <si>
    <t>PR20200799(US/KR)</t>
  </si>
  <si>
    <t>차내망이 차량 이더넷을 도입하는 환경에서 보안위협분석, 보안요구사항 및 사용예를 정의함</t>
  </si>
  <si>
    <t>빅데이터 분석 서비스는 사용자의 행동, 구매, 결제, 위치, 각종 인터넷 콘텐츠 소비 등 정의되지 않은 비정형 데이터를 기반으로 한다. 이를 통해 기존에 발견하지 못했던 새로운 인사이트를 제공하고 미래 상태를 예측할 수 있다. 그러나 일부 승인되지 않은 데이터는 분석 과정에서 악의적으로 사용될 수 있다. 본 권고안에서는 비인가 데이터 사용을 탐지하기 위한 빅데이터 분석 및 운영을 위한 참조 모니터에 대해 기술한다. 빅데이터 분석의 보안 위협을 완화하고 보안 문제를 해결하기 위해 어떤 보안 기능이 필요한지 결정하기 위해 접근 제어에 기반한 참조 모니터링 방법론이 제공된다.</t>
  </si>
  <si>
    <t>SG17 Q7 라포처(나재훈)
SG17 WP4 의장(나재훈)</t>
  </si>
  <si>
    <t>디지털 시대에 네트워크는 통신과 데이터 전송의 기반이 되었다. 네트워크의 규모와 복잡성이 계속 증가함에 따라 효과적인 네트워크 관리와 능동적 방어 기술의 필요성이 점점 더 중요해지고 있다. 네트워크 관리는 네트워크 성능을 모니터링, 유지, 최적화하는 과정을 말하며, 능동형 방어 기술은 악성 애플리케이션 및 컴퓨터 바이러스(코드) 등 사이버 위협을 능동적으로 탐지, 예방, 대응하는 기술이다.
이러한 기술 발전으로 인해 네트워크의 안정성, 가용성, 보안을 보장하기 위해서는 강력한 네트워크 관리 및 능동적 방어 기술을 갖추는 것이 필수적이다. 이 표준은 인공지능을 비롯한 새로운 기술을 수용할 수 있는 차세대 네트워크 기술의 핵심 기능으로 네트워크 관리 및 능동 방어 기술을 정의한다.</t>
  </si>
  <si>
    <t>차량용 에지컴퓨팅에서의 참조모델, 보안위협, 보안요구사항 및 사용예를 정의함</t>
  </si>
  <si>
    <t>차량 부품의 무선 소프트웨어 업데이트 절차를 정의함</t>
  </si>
  <si>
    <t>수직전기이착륙기(eVTOL)의 보안위협, 보안요구사항, 구현고려사항을 정의함.</t>
  </si>
  <si>
    <t>OTA 업데이트를 지원하는 장치의 보안성 평가 기술을 정의함</t>
  </si>
  <si>
    <t>개발된 기술보고서(TR)은 디지털 홀로그래픽 디스플레이의 광학적 성능 측정 및 화질 평가 표준화를 위하여 디지털 홀로그래피 기술 이론에 기반한 홀로그래픽 디스플레이에 관한 일반적 기술개요 및 정보를 다루고 있음. 해당 기술분석서 발간 이후 본격적인 기술표준화가 진행되었음</t>
  </si>
  <si>
    <t>실내 내비게이션 또는 측위를 위해 요구되는 실내지도 명세를 활용하는 지도 구축 및 활용기술</t>
  </si>
  <si>
    <t>국토부</t>
  </si>
  <si>
    <t>지능정보연구본부</t>
  </si>
  <si>
    <t>본 표준은 실내 대화형 로봇 시스템에 대한 요구 사항과 아키텍처를 설명하며 실내 대화형 로봇 시스템을 지원하기 위한 다양한 기능을 정의함. 본 권고의 범위는 아키텍처, 터미널, 서버 및 모듈 간 인터페이스이며 또한 가변거리 음성 전처리 기능, 사용자 식별 음성 인식 기능, 멀티태스킹 대화 처리 기능, 음성 합성 기능 등 다양한 기능을 설명하고 모듈 간의 인터페이스에 대해 설명함.</t>
  </si>
  <si>
    <t>최미란</t>
  </si>
  <si>
    <t>.</t>
  </si>
  <si>
    <t>표준개발과제(국표원 표준기술력향상사업)</t>
  </si>
  <si>
    <t>NFV SOL WS</t>
    <phoneticPr fontId="1" type="noConversion"/>
  </si>
  <si>
    <t>기본사업</t>
  </si>
  <si>
    <t>SG17 Q12</t>
    <phoneticPr fontId="1" type="noConversion"/>
  </si>
  <si>
    <t>강유화</t>
    <phoneticPr fontId="1" type="noConversion"/>
  </si>
  <si>
    <t>강유화
김창기</t>
    <phoneticPr fontId="1" type="noConversion"/>
  </si>
  <si>
    <t>OMG Robotics DTF Co-Chair(지수영)</t>
    <phoneticPr fontId="1" type="noConversion"/>
  </si>
  <si>
    <t>ISO/IEC JTC1</t>
  </si>
  <si>
    <t>SG16 Q6</t>
    <phoneticPr fontId="1" type="noConversion"/>
  </si>
  <si>
    <t>ITU-R: 6G 사용 시나리오, 6G 핵심성능지표 및 성능 목표 등</t>
    <phoneticPr fontId="1" type="noConversion"/>
  </si>
  <si>
    <t>3GPP: 5G NR Rel-18 및 이후 릴리스, 물리계층 및 상위 계층 규격</t>
    <phoneticPr fontId="1" type="noConversion"/>
  </si>
  <si>
    <t>WG4</t>
    <phoneticPr fontId="1" type="noConversion"/>
  </si>
  <si>
    <t>nGRG</t>
    <phoneticPr fontId="1" type="noConversion"/>
  </si>
  <si>
    <t>CUS-Plane Spec,</t>
    <phoneticPr fontId="1" type="noConversion"/>
  </si>
  <si>
    <t>3GPP: 5G NR Rel-18 and Bebyond, TS 38.211</t>
    <phoneticPr fontId="1" type="noConversion"/>
  </si>
  <si>
    <t>3GPP: 5G NR Rel-18 and Bebyond, TS 38.213</t>
    <phoneticPr fontId="1" type="noConversion"/>
  </si>
  <si>
    <t>3GPP: 5G NR Rel-18 and Bebyond, TS 38.214</t>
    <phoneticPr fontId="1" type="noConversion"/>
  </si>
  <si>
    <t>3GPP: 5G NR Rel-18 and Bebyond, TS 38.321</t>
    <phoneticPr fontId="1" type="noConversion"/>
  </si>
  <si>
    <t>SG20 Q4</t>
    <phoneticPr fontId="1" type="noConversion"/>
  </si>
  <si>
    <t>3GPP: 5G NR Rel-18 and Bebyond, TS 38.212</t>
    <phoneticPr fontId="1" type="noConversion"/>
  </si>
  <si>
    <t>3GPP: 5G NR Rel-18 and Bebyond, TS 38.331</t>
    <phoneticPr fontId="1" type="noConversion"/>
  </si>
  <si>
    <t>802.11be</t>
    <phoneticPr fontId="1" type="noConversion"/>
  </si>
  <si>
    <t>CommercialWG</t>
    <phoneticPr fontId="1" type="noConversion"/>
  </si>
  <si>
    <t>TVControlAPI</t>
    <phoneticPr fontId="1" type="noConversion"/>
  </si>
  <si>
    <t>SC6</t>
    <phoneticPr fontId="1" type="noConversion"/>
  </si>
  <si>
    <t>SC38</t>
    <phoneticPr fontId="1" type="noConversion"/>
  </si>
  <si>
    <t>SC31</t>
    <phoneticPr fontId="1" type="noConversion"/>
  </si>
  <si>
    <t>SC41 WG7</t>
    <phoneticPr fontId="1" type="noConversion"/>
  </si>
  <si>
    <t>RoboticsDTF</t>
    <phoneticPr fontId="1" type="noConversion"/>
  </si>
  <si>
    <t>MPLS</t>
    <phoneticPr fontId="1" type="noConversion"/>
  </si>
  <si>
    <t>SG9</t>
    <phoneticPr fontId="1" type="noConversion"/>
  </si>
  <si>
    <t>SG20 Q3</t>
    <phoneticPr fontId="1" type="noConversion"/>
  </si>
  <si>
    <t>SG5 Q13</t>
    <phoneticPr fontId="1" type="noConversion"/>
  </si>
  <si>
    <t>SG11 Q7</t>
    <phoneticPr fontId="1" type="noConversion"/>
  </si>
  <si>
    <t>SG16 Q5</t>
    <phoneticPr fontId="1" type="noConversion"/>
  </si>
  <si>
    <t>6LO</t>
    <phoneticPr fontId="1" type="noConversion"/>
  </si>
  <si>
    <t>SG16 Q27</t>
    <phoneticPr fontId="1" type="noConversion"/>
  </si>
  <si>
    <t>3079-2020</t>
    <phoneticPr fontId="1" type="noConversion"/>
  </si>
  <si>
    <t>TEAS</t>
    <phoneticPr fontId="1" type="noConversion"/>
  </si>
  <si>
    <t>802.11ba</t>
    <phoneticPr fontId="1" type="noConversion"/>
  </si>
  <si>
    <t>TechnologyWG</t>
    <phoneticPr fontId="1" type="noConversion"/>
  </si>
  <si>
    <t>I2NSF</t>
    <phoneticPr fontId="1" type="noConversion"/>
  </si>
  <si>
    <t>WG12</t>
    <phoneticPr fontId="1" type="noConversion"/>
  </si>
  <si>
    <t>TC124</t>
    <phoneticPr fontId="1" type="noConversion"/>
  </si>
  <si>
    <t>T2TRG</t>
    <phoneticPr fontId="1" type="noConversion"/>
  </si>
  <si>
    <t>ORADCommittee</t>
    <phoneticPr fontId="1" type="noConversion"/>
  </si>
  <si>
    <t>TC62</t>
    <phoneticPr fontId="1" type="noConversion"/>
  </si>
  <si>
    <t>ITU-T Y.4607</t>
    <phoneticPr fontId="1" type="noConversion"/>
  </si>
  <si>
    <t>제정완료</t>
    <phoneticPr fontId="1" type="noConversion"/>
  </si>
  <si>
    <t>ETRI 기고자</t>
    <phoneticPr fontId="1" type="noConversion"/>
  </si>
  <si>
    <t>고집적·저항기반 메모리</t>
    <phoneticPr fontId="1" type="noConversion"/>
  </si>
  <si>
    <t>전력반도체</t>
    <phoneticPr fontId="1" type="noConversion"/>
  </si>
  <si>
    <t>프리폼 디스플레이</t>
    <phoneticPr fontId="1" type="noConversion"/>
  </si>
  <si>
    <t>네트워크 클라우드 보안</t>
    <phoneticPr fontId="1" type="noConversion"/>
  </si>
  <si>
    <t>6G</t>
    <phoneticPr fontId="1" type="noConversion"/>
  </si>
  <si>
    <t>5G 고도화</t>
    <phoneticPr fontId="1" type="noConversion"/>
  </si>
  <si>
    <t>1) 반도체·디스플레이</t>
    <phoneticPr fontId="1" type="noConversion"/>
  </si>
  <si>
    <t>2) 이차전지</t>
    <phoneticPr fontId="1" type="noConversion"/>
  </si>
  <si>
    <t>3) 첨단모빌리티</t>
    <phoneticPr fontId="1" type="noConversion"/>
  </si>
  <si>
    <t>4) 첨단바이오</t>
    <phoneticPr fontId="1" type="noConversion"/>
  </si>
  <si>
    <t>5) 사이버보안</t>
    <phoneticPr fontId="1" type="noConversion"/>
  </si>
  <si>
    <t>6) 인공지능</t>
    <phoneticPr fontId="1" type="noConversion"/>
  </si>
  <si>
    <t>7) 차세대통신</t>
    <phoneticPr fontId="1" type="noConversion"/>
  </si>
  <si>
    <t>8) 첨단로봇제조</t>
    <phoneticPr fontId="1" type="noConversion"/>
  </si>
  <si>
    <t>9) 양자</t>
    <phoneticPr fontId="1" type="noConversion"/>
  </si>
  <si>
    <t>10) 메타버스</t>
    <phoneticPr fontId="1" type="noConversion"/>
  </si>
  <si>
    <t>11) 초성능컴퓨팅</t>
    <phoneticPr fontId="1" type="noConversion"/>
  </si>
  <si>
    <t>12) ICT융합</t>
    <phoneticPr fontId="1" type="noConversion"/>
  </si>
  <si>
    <t>표준 주요 내용</t>
    <phoneticPr fontId="1" type="noConversion"/>
  </si>
  <si>
    <t>표준번호</t>
    <phoneticPr fontId="1" type="noConversion"/>
  </si>
  <si>
    <t xml:space="preserve"> 표준 제목 (예정)</t>
    <phoneticPr fontId="1" type="noConversion"/>
  </si>
  <si>
    <t>표준화 상태</t>
    <phoneticPr fontId="1" type="noConversion"/>
  </si>
  <si>
    <t xml:space="preserve">(예정) 시작년도  </t>
    <phoneticPr fontId="1" type="noConversion"/>
  </si>
  <si>
    <t>(예정) 완료연도</t>
    <phoneticPr fontId="1" type="noConversion"/>
  </si>
  <si>
    <t>Requirements for the interworking of autonomous urban delivery robots</t>
    <phoneticPr fontId="1" type="noConversion"/>
  </si>
  <si>
    <t>Reference architecture for the interworking of autonomous urban delivery robots</t>
    <phoneticPr fontId="1" type="noConversion"/>
  </si>
  <si>
    <t>도심 자율주행 배달로봇 서비스</t>
    <phoneticPr fontId="1" type="noConversion"/>
  </si>
  <si>
    <t>Identification method for equipment in building infrastructure for sustainable city</t>
    <phoneticPr fontId="1" type="noConversion"/>
  </si>
  <si>
    <t>OCF</t>
  </si>
  <si>
    <t>에디터(정상진)</t>
    <phoneticPr fontId="1" type="noConversion"/>
  </si>
  <si>
    <t>Data management interfaces for intelligent edge computing-based smart agriculture service</t>
    <phoneticPr fontId="1" type="noConversion"/>
  </si>
  <si>
    <t>Conceptual data model of smart livestock farming service</t>
    <phoneticPr fontId="1" type="noConversion"/>
  </si>
  <si>
    <t>ITU-T Y.DM-SLF</t>
    <phoneticPr fontId="1" type="noConversion"/>
  </si>
  <si>
    <t>에디터(박주영), 에디터(최문환)</t>
    <phoneticPr fontId="1" type="noConversion"/>
  </si>
  <si>
    <t>다부처</t>
  </si>
  <si>
    <t>Internet of Things (IoT) - Functional requirements to determine the status of squarantine through Internet of Things data interfaces</t>
    <phoneticPr fontId="1" type="noConversion"/>
  </si>
  <si>
    <t>SC41 WG5</t>
    <phoneticPr fontId="1" type="noConversion"/>
  </si>
  <si>
    <t>Dgital twin framework for manufacturing - Part 6: Digital twin composition</t>
    <phoneticPr fontId="1" type="noConversion"/>
  </si>
  <si>
    <t>선경재, 김성혜, 유상근, 김용운, 손지연, 이학진</t>
    <phoneticPr fontId="1" type="noConversion"/>
  </si>
  <si>
    <t>Requirements and framework of occupational health service platform</t>
    <phoneticPr fontId="1" type="noConversion"/>
  </si>
  <si>
    <t xml:space="preserve">선경재, 김성혜 </t>
    <phoneticPr fontId="1" type="noConversion"/>
  </si>
  <si>
    <t xml:space="preserve">이창규 </t>
    <phoneticPr fontId="1" type="noConversion"/>
  </si>
  <si>
    <t xml:space="preserve">에디터(이창규) </t>
    <phoneticPr fontId="1" type="noConversion"/>
  </si>
  <si>
    <t>Hybrid peer-to-peer (P2P) communications: Peer protocol</t>
    <phoneticPr fontId="1" type="noConversion"/>
  </si>
  <si>
    <t>ITU-T Q.4102 Amd.1</t>
    <phoneticPr fontId="1" type="noConversion"/>
  </si>
  <si>
    <t>8) 첨단로봇제조</t>
  </si>
  <si>
    <t>12) ICT융합</t>
  </si>
  <si>
    <t xml:space="preserve">산업ICT융합 </t>
  </si>
  <si>
    <t>에너지ICT융합</t>
  </si>
  <si>
    <t>안전ICT융합</t>
  </si>
  <si>
    <t>4) 첨단바이오</t>
  </si>
  <si>
    <t>10) 메타버스</t>
  </si>
  <si>
    <t>Hybrid peer-to-per (P2P) communications: Transport protocol for feature-based video services</t>
    <phoneticPr fontId="1" type="noConversion"/>
  </si>
  <si>
    <t>ITU-T Q.HP2P-fvtp</t>
    <phoneticPr fontId="1" type="noConversion"/>
  </si>
  <si>
    <t>Hybrid peer-to-peer (P2P) communications: Data streaming service</t>
    <phoneticPr fontId="1" type="noConversion"/>
  </si>
  <si>
    <t>Healthcare organization management - Pandemic response</t>
    <phoneticPr fontId="1" type="noConversion"/>
  </si>
  <si>
    <t>ISO/CD 16473</t>
    <phoneticPr fontId="1" type="noConversion"/>
  </si>
  <si>
    <t>TC 304 WG4</t>
    <phoneticPr fontId="1" type="noConversion"/>
  </si>
  <si>
    <t>Dgital twin framework for manufacturing - Part 5: Digital thread for digital twin</t>
    <phoneticPr fontId="1" type="noConversion"/>
  </si>
  <si>
    <t>Framework for access permission of Person-Generated Health Records in digital health</t>
    <phoneticPr fontId="1" type="noConversion"/>
  </si>
  <si>
    <t>ITU-T F.HR-AP</t>
    <phoneticPr fontId="1" type="noConversion"/>
  </si>
  <si>
    <t xml:space="preserve">김성혜, 선경재 </t>
    <phoneticPr fontId="1" type="noConversion"/>
  </si>
  <si>
    <t>Pandemic response - Contact tracing</t>
    <phoneticPr fontId="1" type="noConversion"/>
  </si>
  <si>
    <t>Digital twin – Maturity model and guidance for a maturity assessment</t>
    <phoneticPr fontId="1" type="noConversion"/>
  </si>
  <si>
    <t>SC41 WG6</t>
    <phoneticPr fontId="1" type="noConversion"/>
  </si>
  <si>
    <t>Managed P2P communications: Signalling requirements for digital twin federation</t>
    <phoneticPr fontId="1" type="noConversion"/>
  </si>
  <si>
    <t>ITU-T X.mp2p-srdtf</t>
    <phoneticPr fontId="1" type="noConversion"/>
  </si>
  <si>
    <t>Extended information of Semantic Definition Format (SDF) for Digital Twin</t>
    <phoneticPr fontId="1" type="noConversion"/>
  </si>
  <si>
    <t>draft-lee-asdf-digital-twin</t>
    <phoneticPr fontId="1" type="noConversion"/>
  </si>
  <si>
    <t>디지털 트윈 구성 방법 및 장치</t>
  </si>
  <si>
    <t>Hybrid P2P communications: signalling requirements for feature-based video services</t>
    <phoneticPr fontId="1" type="noConversion"/>
  </si>
  <si>
    <t>SG11 Q8 라포처(이창규),
SG11 WP2 의장(고남석)</t>
    <phoneticPr fontId="1" type="noConversion"/>
  </si>
  <si>
    <t>Hybrid peer-to-peer (P2P) communications: service framework</t>
    <phoneticPr fontId="1" type="noConversion"/>
  </si>
  <si>
    <t>Signalling requirements and architecture to support AI based vertical services in future network, IMT2020 and beyond</t>
    <phoneticPr fontId="1" type="noConversion"/>
  </si>
  <si>
    <t>ITU-T Q.5008</t>
    <phoneticPr fontId="1" type="noConversion"/>
  </si>
  <si>
    <t>ITU-T Q.HP2P-svcfrw</t>
    <phoneticPr fontId="1" type="noConversion"/>
  </si>
  <si>
    <t>안병준</t>
    <phoneticPr fontId="1" type="noConversion"/>
  </si>
  <si>
    <t>에디터(안병준)</t>
    <phoneticPr fontId="1" type="noConversion"/>
  </si>
  <si>
    <t>7) 차세대통신</t>
  </si>
  <si>
    <t>5G 고도화</t>
  </si>
  <si>
    <t>에디터(김성한)</t>
    <phoneticPr fontId="1" type="noConversion"/>
  </si>
  <si>
    <t>최영환</t>
    <phoneticPr fontId="1" type="noConversion"/>
  </si>
  <si>
    <t>1. 미국
2. 미국</t>
    <phoneticPr fontId="1" type="noConversion"/>
  </si>
  <si>
    <t>Framework for service interworking with device discovery and management in heterogeneous Internet of things environments</t>
    <phoneticPr fontId="1" type="noConversion"/>
  </si>
  <si>
    <t xml:space="preserve"> Cloud computing – Functional requirements for robotics as a service</t>
    <phoneticPr fontId="1" type="noConversion"/>
  </si>
  <si>
    <t>SG13 Q17</t>
    <phoneticPr fontId="1" type="noConversion"/>
  </si>
  <si>
    <t>Machine Learning Standardization Roadmap</t>
    <phoneticPr fontId="1" type="noConversion"/>
  </si>
  <si>
    <t>JCA-ML</t>
    <phoneticPr fontId="1" type="noConversion"/>
  </si>
  <si>
    <t>6) 인공지능</t>
  </si>
  <si>
    <t>Cloud computing – Functional architecture for machine learning as a service</t>
    <phoneticPr fontId="1" type="noConversion"/>
  </si>
  <si>
    <t>SG13 Q18</t>
    <phoneticPr fontId="1" type="noConversion"/>
  </si>
  <si>
    <t>인민교</t>
    <phoneticPr fontId="1" type="noConversion"/>
  </si>
  <si>
    <t>에디터(인민교)</t>
    <phoneticPr fontId="1" type="noConversion"/>
  </si>
  <si>
    <t>11) 초성능컴퓨팅</t>
  </si>
  <si>
    <t>슈퍼컴퓨팅</t>
  </si>
  <si>
    <t>Cloud computing - Functional architecture for container and container management</t>
    <phoneticPr fontId="1" type="noConversion"/>
  </si>
  <si>
    <t>Cloud Computing - Functional architecture for edge cloud</t>
    <phoneticPr fontId="1" type="noConversion"/>
  </si>
  <si>
    <t>3) 첨단모빌리티</t>
  </si>
  <si>
    <t>Framework of blockchain-based self-organization networking in IoT environments</t>
    <phoneticPr fontId="1" type="noConversion"/>
  </si>
  <si>
    <t>ITU-T Y.4491</t>
    <phoneticPr fontId="1" type="noConversion"/>
  </si>
  <si>
    <t>박정수, 최윤철</t>
    <phoneticPr fontId="1" type="noConversion"/>
  </si>
  <si>
    <t>에디터(박정수), 에디터(최윤철)</t>
    <phoneticPr fontId="1" type="noConversion"/>
  </si>
  <si>
    <t>Capability and functional architecture of peer of blockchain of things</t>
    <phoneticPr fontId="1" type="noConversion"/>
  </si>
  <si>
    <t>ITU-T Y.IoT-BoT-peer</t>
    <phoneticPr fontId="1" type="noConversion"/>
  </si>
  <si>
    <t xml:space="preserve">박정수 </t>
    <phoneticPr fontId="1" type="noConversion"/>
  </si>
  <si>
    <t xml:space="preserve">에디터(박정수) </t>
    <phoneticPr fontId="1" type="noConversion"/>
  </si>
  <si>
    <t>Applicability cases of blockchain in the IoT</t>
    <phoneticPr fontId="1" type="noConversion"/>
  </si>
  <si>
    <t>ITU-T Y.Sup-IoT-BC</t>
    <phoneticPr fontId="1" type="noConversion"/>
  </si>
  <si>
    <t>I2NSF Registration Interface YANG Data Model for NSF Capability Registration</t>
    <phoneticPr fontId="1" type="noConversion"/>
  </si>
  <si>
    <t>draft-ietf-i2nsf-registration-interface-dm</t>
  </si>
  <si>
    <t>I2NSF Network Security Function-Facing Interface YANG Data Model</t>
    <phoneticPr fontId="1" type="noConversion"/>
  </si>
  <si>
    <t>draft-ietf-i2nsf-nsf-facing-interface-dm</t>
  </si>
  <si>
    <t>5) 사이버보안</t>
  </si>
  <si>
    <t>네트워크 클라우드 보안</t>
  </si>
  <si>
    <t>Security Management Automation of Cloud-Based Security Services in I2NSF Framework</t>
    <phoneticPr fontId="1" type="noConversion"/>
  </si>
  <si>
    <t>draft-jeong-i2nsf-security-management-automation</t>
    <phoneticPr fontId="1" type="noConversion"/>
  </si>
  <si>
    <t>I2NSF Analytics Interface YANG Data Model</t>
    <phoneticPr fontId="1" type="noConversion"/>
  </si>
  <si>
    <t>최윤철</t>
    <phoneticPr fontId="1" type="noConversion"/>
  </si>
  <si>
    <t>에디터(최윤철)</t>
    <phoneticPr fontId="1" type="noConversion"/>
  </si>
  <si>
    <t>Information technology - Medical image-based modelling for 3D printing -
Part 2: Segmentation</t>
    <phoneticPr fontId="1" type="noConversion"/>
  </si>
  <si>
    <t>ISO/IEC 3532-2</t>
    <phoneticPr fontId="1" type="noConversion"/>
  </si>
  <si>
    <t>전종홍</t>
    <phoneticPr fontId="1" type="noConversion"/>
  </si>
  <si>
    <t>에디터(전종홍)</t>
    <phoneticPr fontId="1" type="noConversion"/>
  </si>
  <si>
    <t>Information Technology - 3D Printing and Scanning - accuracy and precision evaluation process for modeling from 3D scanned data</t>
    <phoneticPr fontId="1" type="noConversion"/>
  </si>
  <si>
    <t>ISO/IEC 8803</t>
    <phoneticPr fontId="1" type="noConversion"/>
  </si>
  <si>
    <t>보건복지부</t>
  </si>
  <si>
    <t>Wearable electronic devices and technologies - Part 402-2: Performance measurement of fitness wearables - Step counting</t>
    <phoneticPr fontId="1" type="noConversion"/>
  </si>
  <si>
    <t>IEC 63203-402-2</t>
  </si>
  <si>
    <t>Machine Learning-enabled Medical Device – Performance Evaluation Process</t>
    <phoneticPr fontId="1" type="noConversion"/>
  </si>
  <si>
    <t>IEC 63521</t>
    <phoneticPr fontId="1" type="noConversion"/>
  </si>
  <si>
    <t>PT8 의장(전종홍)</t>
    <phoneticPr fontId="1" type="noConversion"/>
  </si>
  <si>
    <t>Software and systems engineering - Software testing - Part 11: Testing of AI systems</t>
    <phoneticPr fontId="1" type="noConversion"/>
  </si>
  <si>
    <t>ISO/IEC TS 29119-11</t>
    <phoneticPr fontId="1" type="noConversion"/>
  </si>
  <si>
    <t>Requirements on Wearable Sleep monitoring for Medical application</t>
    <phoneticPr fontId="1" type="noConversion"/>
  </si>
  <si>
    <t>Hybrid peer-to-peer communications: Overlay management protocol</t>
    <phoneticPr fontId="1" type="noConversion"/>
  </si>
  <si>
    <t>ITU-T Q.4103 Amd.1</t>
    <phoneticPr fontId="1" type="noConversion"/>
  </si>
  <si>
    <t>허미영, 현욱</t>
    <phoneticPr fontId="1" type="noConversion"/>
  </si>
  <si>
    <t>ITU-T Q.HP2P-fvcp</t>
    <phoneticPr fontId="1" type="noConversion"/>
  </si>
  <si>
    <t>IoT Edge Challenges and Functions</t>
    <phoneticPr fontId="1" type="noConversion"/>
  </si>
  <si>
    <t>Research challenges of computing in the network</t>
    <phoneticPr fontId="1" type="noConversion"/>
  </si>
  <si>
    <t>draft-irtf-coinrg-use-case-analysis</t>
    <phoneticPr fontId="1" type="noConversion"/>
  </si>
  <si>
    <t>IRTF</t>
  </si>
  <si>
    <t>Terminology for Computing in the Network</t>
    <phoneticPr fontId="1" type="noConversion"/>
  </si>
  <si>
    <t>draft-irtf-coinrg-coin-terminology</t>
    <phoneticPr fontId="1" type="noConversion"/>
  </si>
  <si>
    <t>Taxonomy and Definitions for Terms Related to Driving Automation Systems for On-Road Motor Vehicles</t>
    <phoneticPr fontId="1" type="noConversion"/>
  </si>
  <si>
    <t>SAE J3016</t>
    <phoneticPr fontId="1" type="noConversion"/>
  </si>
  <si>
    <t>차홍기</t>
    <phoneticPr fontId="1" type="noConversion"/>
  </si>
  <si>
    <t>Functional requirements of universal interfaces for purpose-built ADS-DV</t>
    <phoneticPr fontId="1" type="noConversion"/>
  </si>
  <si>
    <t>ITU-T F.PB-ADS-DV</t>
    <phoneticPr fontId="1" type="noConversion"/>
  </si>
  <si>
    <t>SC29 WG7</t>
    <phoneticPr fontId="1" type="noConversion"/>
  </si>
  <si>
    <t>Robotic Service Ontology (RoSO) </t>
    <phoneticPr fontId="1" type="noConversion"/>
  </si>
  <si>
    <t>OMG</t>
  </si>
  <si>
    <t>지수영, 최강일</t>
    <phoneticPr fontId="1" type="noConversion"/>
  </si>
  <si>
    <t>Information technology – Home Electronic System (HES) interfaces – Part 4-2: Common user interface and cluster-to-cluster interface to support
interworking among home cluster systems – Interfaces, services and objects</t>
    <phoneticPr fontId="1" type="noConversion"/>
  </si>
  <si>
    <t>ISO/IEC 10192-4-2</t>
    <phoneticPr fontId="1" type="noConversion"/>
  </si>
  <si>
    <t>SC25 WG1</t>
    <phoneticPr fontId="1" type="noConversion"/>
  </si>
  <si>
    <t>프로젝트리더(박호진)</t>
    <phoneticPr fontId="1" type="noConversion"/>
  </si>
  <si>
    <t>Information technology – Home Electronic System (HES) interfaces – Part 4-3: Common user interface and cluster-to-cluster interface to support
interworking among home cluster systems – Messaging</t>
    <phoneticPr fontId="1" type="noConversion"/>
  </si>
  <si>
    <t>ISO/IEC 10192-4-3</t>
  </si>
  <si>
    <t>MPEG-I Part 4: Audio</t>
    <phoneticPr fontId="1" type="noConversion"/>
  </si>
  <si>
    <t>ISO 23090-4</t>
    <phoneticPr fontId="1" type="noConversion"/>
  </si>
  <si>
    <t>SC29 WG6</t>
    <phoneticPr fontId="1" type="noConversion"/>
  </si>
  <si>
    <t>VSEI for Machines</t>
    <phoneticPr fontId="1" type="noConversion"/>
  </si>
  <si>
    <t>Measurement method of holographic display – Visible resolution and monochromatic speckle contrast</t>
    <phoneticPr fontId="1" type="noConversion"/>
  </si>
  <si>
    <t>IEC TC110/WG6 PWI 110-17(IEC NP 62629-41-2)</t>
    <phoneticPr fontId="1" type="noConversion"/>
  </si>
  <si>
    <t>TC110 WG6</t>
    <phoneticPr fontId="1" type="noConversion"/>
  </si>
  <si>
    <t>프로젝트리더(남제호)</t>
    <phoneticPr fontId="1" type="noConversion"/>
  </si>
  <si>
    <t>PR20161133</t>
  </si>
  <si>
    <t>SC29 WG1</t>
    <phoneticPr fontId="1" type="noConversion"/>
  </si>
  <si>
    <t>Holographic Visualization for Interfacing Cyber and Physical Worlds</t>
    <phoneticPr fontId="1" type="noConversion"/>
  </si>
  <si>
    <t>VVC Video Standard</t>
    <phoneticPr fontId="1" type="noConversion"/>
  </si>
  <si>
    <t>ATSC3.0</t>
    <phoneticPr fontId="1" type="noConversion"/>
  </si>
  <si>
    <t>ATSC</t>
  </si>
  <si>
    <t>TG3 S41</t>
    <phoneticPr fontId="1" type="noConversion"/>
  </si>
  <si>
    <t>1. 사용자 선택형 미디어 서비스를 제공하는 방법 및 장치
2. 사용자 선택형 입체미디어의 화질개선을 위한 부가데이터의 부호화 효율개선방법</t>
    <phoneticPr fontId="1" type="noConversion"/>
  </si>
  <si>
    <t>1. 한국
2. 한국</t>
    <phoneticPr fontId="1" type="noConversion"/>
  </si>
  <si>
    <t>1. 김성훈
2. 김성훈</t>
    <phoneticPr fontId="1" type="noConversion"/>
  </si>
  <si>
    <t>문체부</t>
  </si>
  <si>
    <t>Framework for interactive virtual performing arts services</t>
    <phoneticPr fontId="1" type="noConversion"/>
  </si>
  <si>
    <t>ITU-T F.FW-IVPS</t>
    <phoneticPr fontId="1" type="noConversion"/>
  </si>
  <si>
    <t>에디터(장성준)</t>
    <phoneticPr fontId="1" type="noConversion"/>
  </si>
  <si>
    <t>Wearable electronic devices and technologies - Part 301-1: Test method of electrochromic films for wearable equipment</t>
    <phoneticPr fontId="1" type="noConversion"/>
  </si>
  <si>
    <t>TC124 WG3</t>
    <phoneticPr fontId="1" type="noConversion"/>
  </si>
  <si>
    <t>1) 반도체·디스플레이</t>
  </si>
  <si>
    <t>Wearable electronic devices and technologies - Part 30X-X: Test method of UV transmittance and bistability for electrochromic filmss</t>
    <phoneticPr fontId="1" type="noConversion"/>
  </si>
  <si>
    <t>IEC 63203-30X-X ED1</t>
    <phoneticPr fontId="1" type="noConversion"/>
  </si>
  <si>
    <t>모빌리티로봇연구본부</t>
    <phoneticPr fontId="1" type="noConversion"/>
  </si>
  <si>
    <t>Intelligent transport systems - Indoor navigation for personal and vehicle ITS station - Part 2: Requirements and specifications for indoor maps</t>
    <phoneticPr fontId="1" type="noConversion"/>
  </si>
  <si>
    <t>ISO 17438-2</t>
    <phoneticPr fontId="1" type="noConversion"/>
  </si>
  <si>
    <t>TC204 WG17</t>
    <phoneticPr fontId="1" type="noConversion"/>
  </si>
  <si>
    <t>유재준</t>
    <phoneticPr fontId="1" type="noConversion"/>
  </si>
  <si>
    <t>Framework and overall objectives of the future development of IMT for 2030 and beyond</t>
    <phoneticPr fontId="1" type="noConversion"/>
  </si>
  <si>
    <t>예충일</t>
    <phoneticPr fontId="1" type="noConversion"/>
  </si>
  <si>
    <t>6G</t>
  </si>
  <si>
    <t>Physical channels and modulation (Release 19)</t>
    <phoneticPr fontId="1" type="noConversion"/>
  </si>
  <si>
    <t>TS 38.211 V19.0.0</t>
    <phoneticPr fontId="1" type="noConversion"/>
  </si>
  <si>
    <t>방승재, 이안석, 권용진</t>
    <phoneticPr fontId="1" type="noConversion"/>
  </si>
  <si>
    <t>Multiplexing and channel coding (Release 19)</t>
    <phoneticPr fontId="1" type="noConversion"/>
  </si>
  <si>
    <t>TS 38.212 V19.0.0</t>
    <phoneticPr fontId="1" type="noConversion"/>
  </si>
  <si>
    <t>Physical layer procedures for control (Release 19)</t>
    <phoneticPr fontId="1" type="noConversion"/>
  </si>
  <si>
    <t>TS 38.213 V19.0.0</t>
    <phoneticPr fontId="1" type="noConversion"/>
  </si>
  <si>
    <t>Physical layer procedures for data (Release 19)</t>
    <phoneticPr fontId="1" type="noConversion"/>
  </si>
  <si>
    <t>TS 38.214 V19.0.0</t>
    <phoneticPr fontId="1" type="noConversion"/>
  </si>
  <si>
    <t>NR and NG-RAN Overall description; Stage-2</t>
    <phoneticPr fontId="1" type="noConversion"/>
  </si>
  <si>
    <t>TS 38.300 V19.x.x</t>
    <phoneticPr fontId="1" type="noConversion"/>
  </si>
  <si>
    <t>김재흥</t>
    <phoneticPr fontId="1" type="noConversion"/>
  </si>
  <si>
    <t>Radio Resource Control Procotol Specification (Relase 19)</t>
    <phoneticPr fontId="1" type="noConversion"/>
  </si>
  <si>
    <t xml:space="preserve">TS 38.331 V19.x.x </t>
    <phoneticPr fontId="1" type="noConversion"/>
  </si>
  <si>
    <t>O-RAN E2 Service Model (E2SM), RAN Control</t>
    <phoneticPr fontId="1" type="noConversion"/>
  </si>
  <si>
    <t>O-RAN.WG3.E2SM-RC</t>
    <phoneticPr fontId="1" type="noConversion"/>
  </si>
  <si>
    <t>WG3</t>
    <phoneticPr fontId="1" type="noConversion"/>
  </si>
  <si>
    <t>김민현</t>
    <phoneticPr fontId="1" type="noConversion"/>
  </si>
  <si>
    <t>PR20230893(KR)</t>
    <phoneticPr fontId="1" type="noConversion"/>
  </si>
  <si>
    <t>METHOD AND APPARATUS FOR AI/ML ASSISTED BEAM MANAGEMENT IN O-RAN</t>
    <phoneticPr fontId="1" type="noConversion"/>
  </si>
  <si>
    <t xml:space="preserve">Study on Artificial Intelligence (AI)/Machine Learning (ML) for NR air interface </t>
    <phoneticPr fontId="1" type="noConversion"/>
  </si>
  <si>
    <t>TR 38.843 (Release 18)</t>
    <phoneticPr fontId="1" type="noConversion"/>
  </si>
  <si>
    <t>Linear protection for fgMTN and fgOTN</t>
    <phoneticPr fontId="1" type="noConversion"/>
  </si>
  <si>
    <t>G.808.4</t>
    <phoneticPr fontId="1" type="noConversion"/>
  </si>
  <si>
    <t>SG15 Q11</t>
    <phoneticPr fontId="1" type="noConversion"/>
  </si>
  <si>
    <t>류정동, 정태식</t>
    <phoneticPr fontId="1" type="noConversion"/>
  </si>
  <si>
    <t>에디터(류정동)</t>
    <phoneticPr fontId="1" type="noConversion"/>
  </si>
  <si>
    <t>draft-ietf-detnet-scaling-requirements</t>
    <phoneticPr fontId="1" type="noConversion"/>
  </si>
  <si>
    <t>Requirements for Scaling Deterministic Networks</t>
    <phoneticPr fontId="1" type="noConversion"/>
  </si>
  <si>
    <t>DetNet Configuration YANG Mode</t>
    <phoneticPr fontId="1" type="noConversion"/>
  </si>
  <si>
    <t>draft-ietf-detnet-yang</t>
    <phoneticPr fontId="1" type="noConversion"/>
  </si>
  <si>
    <t>유연철</t>
    <phoneticPr fontId="1" type="noConversion"/>
  </si>
  <si>
    <t>에디터(유연철)</t>
    <phoneticPr fontId="1" type="noConversion"/>
  </si>
  <si>
    <t>Latency Guarantee with Stateless Fair Queuing</t>
    <phoneticPr fontId="1" type="noConversion"/>
  </si>
  <si>
    <t>draft-joung-detnet-stateless-fair-queuing</t>
    <phoneticPr fontId="1" type="noConversion"/>
  </si>
  <si>
    <t>에디터(류정동), 에디터(정태식)</t>
    <phoneticPr fontId="1" type="noConversion"/>
  </si>
  <si>
    <t>PR20230151</t>
    <phoneticPr fontId="1" type="noConversion"/>
  </si>
  <si>
    <t>코어 노드에서 플로우 상태 정보가 필요 없는, 플로우 종류별 FIFO 큐 기반 작업보존형 fair queueing 스케줄러</t>
    <phoneticPr fontId="1" type="noConversion"/>
  </si>
  <si>
    <t>Asynchronous Deterministic Networking Framework for Large-Scale Networks</t>
    <phoneticPr fontId="1" type="noConversion"/>
  </si>
  <si>
    <t>draft-joung-detnet-asynch-detnet-framework</t>
    <phoneticPr fontId="1" type="noConversion"/>
  </si>
  <si>
    <t>류정동</t>
    <phoneticPr fontId="1" type="noConversion"/>
  </si>
  <si>
    <t>네트워크 지연 시간 한계 정보를 이용하는 클럭 드리프트 보정 방법 및 장치</t>
    <phoneticPr fontId="1" type="noConversion"/>
  </si>
  <si>
    <t>Segment Routing (SR) Based Bounded Latency</t>
    <phoneticPr fontId="1" type="noConversion"/>
  </si>
  <si>
    <t>draft-chen-detnet-sr-based-bounded-latency</t>
    <phoneticPr fontId="1" type="noConversion"/>
  </si>
  <si>
    <t>Deterministic Networking (DetNet) Data Plane - Tagged Cyclic Queuing and Forwarding (TCQF) for bounded latency with low jitter in large scale DetNets</t>
    <phoneticPr fontId="1" type="noConversion"/>
  </si>
  <si>
    <t>draft-eckert-detnet-tcqf</t>
    <phoneticPr fontId="1" type="noConversion"/>
  </si>
  <si>
    <t>System architecture for the 5G System (5GS)</t>
    <phoneticPr fontId="1" type="noConversion"/>
  </si>
  <si>
    <t>TS 23.501</t>
    <phoneticPr fontId="1" type="noConversion"/>
  </si>
  <si>
    <t>SA2</t>
    <phoneticPr fontId="1" type="noConversion"/>
  </si>
  <si>
    <t>김창기, 하정락</t>
    <phoneticPr fontId="1" type="noConversion"/>
  </si>
  <si>
    <t>1. APPARATUS AND METHOD FOR PERFORMING SESSION MANAGEMENT EVENT EXPOSURE SERVICE FOR USER DATA MONITORING IN WIRELESS COMMUNICATION SYSTEM
2. APPARATUS AND METHOD FOR MEASURING AND REPORTING PERFORMANCE MONITORING DATA IN WIRELESS COMMUNICATION SYSTEM
3. APPARATUS AND METHOD FOR PROVIDING USER PLANE FUNCTION EVENT EXPOSURE SERVICE IN WIRELESS COMMUNICATION SYSTEM</t>
    <phoneticPr fontId="1" type="noConversion"/>
  </si>
  <si>
    <t>1. 김창기
2. 하정락
3. 김창기</t>
    <phoneticPr fontId="1" type="noConversion"/>
  </si>
  <si>
    <t>Procedures for the 5G System (5GS)</t>
    <phoneticPr fontId="1" type="noConversion"/>
  </si>
  <si>
    <t>TS 23.502</t>
    <phoneticPr fontId="1" type="noConversion"/>
  </si>
  <si>
    <t>TC103 WG6</t>
    <phoneticPr fontId="1" type="noConversion"/>
  </si>
  <si>
    <t>에디터(조승현)</t>
    <phoneticPr fontId="1" type="noConversion"/>
  </si>
  <si>
    <t>PR20220904</t>
    <phoneticPr fontId="1" type="noConversion"/>
  </si>
  <si>
    <t>광기반 테라헤르츠 무선 통신 기술을 활용한 모바일 프론트홀, 미드홀,백홀, 재난복구망 구성 방법 및 장치</t>
    <phoneticPr fontId="1" type="noConversion"/>
  </si>
  <si>
    <t xml:space="preserve">System architecture for the 5G System (5GS); Stage 2 </t>
    <phoneticPr fontId="1" type="noConversion"/>
  </si>
  <si>
    <t>TS 23.501 (Release 19)</t>
    <phoneticPr fontId="1" type="noConversion"/>
  </si>
  <si>
    <t>강유화, 고남석</t>
    <phoneticPr fontId="1" type="noConversion"/>
  </si>
  <si>
    <t>TC77 SC77C</t>
    <phoneticPr fontId="1" type="noConversion"/>
  </si>
  <si>
    <t>에디터(황정환)</t>
    <phoneticPr fontId="1" type="noConversion"/>
  </si>
  <si>
    <t>Determination of RF field strength, power density and SAR in the vicinity of base stations for the purpose of evaluating human exposure</t>
    <phoneticPr fontId="1" type="noConversion"/>
  </si>
  <si>
    <t>IEC62232</t>
    <phoneticPr fontId="1" type="noConversion"/>
  </si>
  <si>
    <t>TC106 MT3</t>
    <phoneticPr fontId="1" type="noConversion"/>
  </si>
  <si>
    <t>전상봉,이애경,최형도</t>
  </si>
  <si>
    <t>Use of commercial drones for ITU-Rspectrum monitoring tasks</t>
    <phoneticPr fontId="1" type="noConversion"/>
  </si>
  <si>
    <t>ITU-R SM.2485-0</t>
    <phoneticPr fontId="1" type="noConversion"/>
  </si>
  <si>
    <t>에디터(김병찬)</t>
    <phoneticPr fontId="1" type="noConversion"/>
  </si>
  <si>
    <t>Standard for Information technology-Telecommunications and information exchange between systems Local and metropolitan area networks--Specific requirements - Part 11: Wireless LAN Medium Access Control (MAC) and Physical Layer (PHY) Specifications, Amendment: Enhancements for Extremely High Throughput (EHT)</t>
    <phoneticPr fontId="1" type="noConversion"/>
  </si>
  <si>
    <t>IEEE 802.11be</t>
    <phoneticPr fontId="1" type="noConversion"/>
  </si>
  <si>
    <t>PR20210269</t>
  </si>
  <si>
    <t>METHOD AND APPARATUS FOR DIRECT COMMUNICATION IN WIRELESS LOCAL AREA NETWORK</t>
  </si>
  <si>
    <t xml:space="preserve"> Propagation data and prediction methods for the planning of short-range outdoor radiocommunication systems and radio local area networks in the frequency range 300 MHz to 100 GHz</t>
    <phoneticPr fontId="1" type="noConversion"/>
  </si>
  <si>
    <t>ITU-R P.1411-11</t>
    <phoneticPr fontId="1" type="noConversion"/>
  </si>
  <si>
    <t>에디터(이주열)</t>
    <phoneticPr fontId="1" type="noConversion"/>
  </si>
  <si>
    <t>에디터(김명돈)</t>
    <phoneticPr fontId="1" type="noConversion"/>
  </si>
  <si>
    <t>Propagation data and prediction methods for the planning of indoor radiocommunication systems and radio local area networks in the frequency range 300 MHz to 450 GHz</t>
    <phoneticPr fontId="1" type="noConversion"/>
  </si>
  <si>
    <t>ITU-R P.1238-11</t>
    <phoneticPr fontId="1" type="noConversion"/>
  </si>
  <si>
    <t>김명돈, 이주열, 박재준, 김종호, 오진형</t>
  </si>
  <si>
    <t>Service requirements for the 5G system(Stage1)</t>
    <phoneticPr fontId="1" type="noConversion"/>
  </si>
  <si>
    <t>TS 22.261</t>
    <phoneticPr fontId="1" type="noConversion"/>
  </si>
  <si>
    <t>Study on NR network-controlled repeaters</t>
    <phoneticPr fontId="1" type="noConversion"/>
  </si>
  <si>
    <t>TR 38.867 (Release 18)</t>
    <phoneticPr fontId="1" type="noConversion"/>
  </si>
  <si>
    <t>Study on Evolution of NR Duplex Operation</t>
    <phoneticPr fontId="1" type="noConversion"/>
  </si>
  <si>
    <t>TR 38.858 (Release 18)</t>
    <phoneticPr fontId="1" type="noConversion"/>
  </si>
  <si>
    <t xml:space="preserve">오픈랜 </t>
  </si>
  <si>
    <t>M-Plane Spec</t>
  </si>
  <si>
    <t>3GPP: 5G NR Rel-18 and Bebyond</t>
  </si>
  <si>
    <t>3GPP: 5G NR Rel-18 and Bebyond</t>
    <phoneticPr fontId="1" type="noConversion"/>
  </si>
  <si>
    <t>TS 38.211</t>
    <phoneticPr fontId="1" type="noConversion"/>
  </si>
  <si>
    <t>TS 38.212</t>
  </si>
  <si>
    <t>TS 38.213</t>
    <phoneticPr fontId="1" type="noConversion"/>
  </si>
  <si>
    <t>TS 38.214</t>
    <phoneticPr fontId="1" type="noConversion"/>
  </si>
  <si>
    <t>TS 38.321</t>
  </si>
  <si>
    <t xml:space="preserve">TS 38.331 </t>
  </si>
  <si>
    <t>TS 38.300</t>
    <phoneticPr fontId="1" type="noConversion"/>
  </si>
  <si>
    <t>User Equipment (UE) procedures in idle mode and in RRC Inactive state</t>
    <phoneticPr fontId="1" type="noConversion"/>
  </si>
  <si>
    <t xml:space="preserve">TS 38.304 </t>
  </si>
  <si>
    <t>Radio Resource Control (RRC); Protocol specification</t>
  </si>
  <si>
    <t>TS 38.331</t>
  </si>
  <si>
    <t>Medium Access Control (MAC) protocol specification</t>
    <phoneticPr fontId="1" type="noConversion"/>
  </si>
  <si>
    <t>Physical layer measurements (Release 18)</t>
    <phoneticPr fontId="1" type="noConversion"/>
  </si>
  <si>
    <t>TS 38.215</t>
  </si>
  <si>
    <t>김중빈, 임경래, 김지형, 유덕현</t>
  </si>
  <si>
    <t>에디터(김중빈), 에디터(김지형)</t>
    <phoneticPr fontId="1" type="noConversion"/>
  </si>
  <si>
    <t>에디터(임경래), 에디터(김중빈)</t>
    <phoneticPr fontId="1" type="noConversion"/>
  </si>
  <si>
    <t>Physical layer procedures for control (Release 18)</t>
    <phoneticPr fontId="1" type="noConversion"/>
  </si>
  <si>
    <t>NR and NR-RAN Overall Description; Stage 2
RRC: Protocol Specification</t>
    <phoneticPr fontId="1" type="noConversion"/>
  </si>
  <si>
    <t>TS 38.300, TS 38.331</t>
    <phoneticPr fontId="1" type="noConversion"/>
  </si>
  <si>
    <t>NR and NR-RAN Overall Description; Stage 2
MAC protocol specification</t>
    <phoneticPr fontId="1" type="noConversion"/>
  </si>
  <si>
    <t>TS 38.300, TS 38.321</t>
    <phoneticPr fontId="1" type="noConversion"/>
  </si>
  <si>
    <t xml:space="preserve"> NR and NR-RAN Overall Description; Stage 2
UE procedures in idle mode and in RRC inactive state</t>
    <phoneticPr fontId="1" type="noConversion"/>
  </si>
  <si>
    <t>TS 38.300, TS 38.304</t>
    <phoneticPr fontId="1" type="noConversion"/>
  </si>
  <si>
    <t>WRC-23</t>
  </si>
  <si>
    <t>Guidance on technical and operational measures for the use of the frequency band 1 240-1 300 MHz by the amateur and amateur-satellite service in order to protect the radionavigation-satellite service (space-to-Earth)</t>
    <phoneticPr fontId="1" type="noConversion"/>
  </si>
  <si>
    <t>SG5 RA-23</t>
    <phoneticPr fontId="1" type="noConversion"/>
  </si>
  <si>
    <t>사이버보안연구본부</t>
    <phoneticPr fontId="1" type="noConversion"/>
  </si>
  <si>
    <t>ITU-T X.websec-7</t>
  </si>
  <si>
    <t>secure resource management for service-oriented network</t>
    <phoneticPr fontId="1" type="noConversion"/>
  </si>
  <si>
    <t>ITU-T X.srm-son</t>
    <phoneticPr fontId="1" type="noConversion"/>
  </si>
  <si>
    <t>나제훈</t>
    <phoneticPr fontId="1" type="noConversion"/>
  </si>
  <si>
    <t>에디터(나제훈)</t>
    <phoneticPr fontId="1" type="noConversion"/>
  </si>
  <si>
    <t>Minimum set of data transfer protocol for automotive emergency response system</t>
    <phoneticPr fontId="1" type="noConversion"/>
  </si>
  <si>
    <t>제정완료</t>
  </si>
  <si>
    <t>임정일, 이준섭, 심태형, 이진영, 김용운, 김형준</t>
    <phoneticPr fontId="1" type="noConversion"/>
  </si>
  <si>
    <t>SG20 의장(김형준)</t>
  </si>
  <si>
    <t>SG20 의장(김형준)
SG20 Q1 라포처(이준섭)</t>
    <phoneticPr fontId="1" type="noConversion"/>
  </si>
  <si>
    <t xml:space="preserve"> </t>
    <phoneticPr fontId="1" type="noConversion"/>
  </si>
  <si>
    <t xml:space="preserve">ITU-T Y.4467 </t>
    <phoneticPr fontId="1" type="noConversion"/>
  </si>
  <si>
    <t xml:space="preserve"> Minimum set of data structure for automotive emergency response system</t>
    <phoneticPr fontId="1" type="noConversion"/>
  </si>
  <si>
    <t>본 표준은 차량 긴급구난체계(e-Call) 시스템에서 사고 판단 시 e-Call 단말(AECD)로부터 e-Call 센터(e-Call Center)로 전송하는 최소 사고 정보(MSD, Minimum Set of Data)의 구조를 정의함</t>
    <phoneticPr fontId="1" type="noConversion"/>
  </si>
  <si>
    <t>본 표준은 차량 긴급구난체계(e-Call) 시스템에서 사고 판단 시 e-Call 단말(AECD)로부터 e-Call 센터(e-Call Center)로 전송하는 최소 사고 정보(MSD, Minimum Set of Data)의 전송 프로토콜을 정의함</t>
  </si>
  <si>
    <t>ITU-T Y.4468</t>
    <phoneticPr fontId="1" type="noConversion"/>
  </si>
  <si>
    <t>심태형, 이준섭, 임정일, 이진영, 김용운, 김형준</t>
    <phoneticPr fontId="1" type="noConversion"/>
  </si>
  <si>
    <t>ITU-T L.1631</t>
    <phoneticPr fontId="1" type="noConversion"/>
  </si>
  <si>
    <t>Reference model for firefighting infrastructure management systems for buildings in sustainable cities</t>
    <phoneticPr fontId="1" type="noConversion"/>
  </si>
  <si>
    <t>본 표준은 지속 가능한 도시를 위해 빌딩 내 중계기 등 소방시설(FDIE) 인프라 관리를 위한 관리시스템(FIMS) 참조모델을 정의하며, 지속 가능한 도시를 위한 소방 인프라 관리시스템 참조모델 개요, 기능 요소를 포함하는 참조모델, 소방 인프라 관리시스템 참조모델 기반 유스케이스를 제공함</t>
  </si>
  <si>
    <t>심태형, 정상진, 안윤영</t>
  </si>
  <si>
    <t>SG5 Q11 라포처(정상진)</t>
  </si>
  <si>
    <t>ITU-T L.1630</t>
    <phoneticPr fontId="1" type="noConversion"/>
  </si>
  <si>
    <t>지속가능한 도시를 위한 건물 내 인프라 설비의 관리를 위한 관리시스템 프레임워크 정의</t>
  </si>
  <si>
    <t>IEC TS 62933-3-3</t>
    <phoneticPr fontId="1" type="noConversion"/>
  </si>
  <si>
    <t>TC120 WG3</t>
    <phoneticPr fontId="1" type="noConversion"/>
  </si>
  <si>
    <t>에너지저장장치의 에너지 집중형 응용 및 비상전원 요도로 활용하기 위한 추가 요구사항 정의</t>
    <phoneticPr fontId="1" type="noConversion"/>
  </si>
  <si>
    <t>2) 이차전지</t>
  </si>
  <si>
    <t>Framework of smart greenhouse service</t>
    <phoneticPr fontId="1" type="noConversion"/>
  </si>
  <si>
    <t>박주영, 최문환</t>
  </si>
  <si>
    <t>농림축산부</t>
  </si>
  <si>
    <t>ITU-T Y.4482</t>
    <phoneticPr fontId="1" type="noConversion"/>
  </si>
  <si>
    <t>Requirements and framework for smart livestock farming based on the Internet of things</t>
    <phoneticPr fontId="1" type="noConversion"/>
  </si>
  <si>
    <t>ITU-T Y.Suppl.76</t>
    <phoneticPr fontId="1" type="noConversion"/>
  </si>
  <si>
    <t>ITU-T Y.4000-series – Use cases of IoT based smart agriculture</t>
    <phoneticPr fontId="1" type="noConversion"/>
  </si>
  <si>
    <t>ITU-T Y.4495</t>
    <phoneticPr fontId="1" type="noConversion"/>
  </si>
  <si>
    <t>Requirements and a reference model of data for smart greenhouse service</t>
    <phoneticPr fontId="1" type="noConversion"/>
  </si>
  <si>
    <t>윤성현, 이창규</t>
    <phoneticPr fontId="1" type="noConversion"/>
  </si>
  <si>
    <t>ITU-T X.609.9</t>
    <phoneticPr fontId="1" type="noConversion"/>
  </si>
  <si>
    <t>Managed P2P communications: Overlay content management protocol</t>
    <phoneticPr fontId="1" type="noConversion"/>
  </si>
  <si>
    <t>SG11 Q8 라포처(이창규)</t>
  </si>
  <si>
    <t>시간 동기화된 멀티미디어 스트리밍을 위한 포맷 및 방법 제안</t>
    <phoneticPr fontId="1" type="noConversion"/>
  </si>
  <si>
    <t>ITU-T X.609.10</t>
    <phoneticPr fontId="1" type="noConversion"/>
  </si>
  <si>
    <t>Managed P2P communications: Signalling requirements for data streaming</t>
    <phoneticPr fontId="1" type="noConversion"/>
  </si>
  <si>
    <t>관리형 P2P 통신 기반 데이터 스트리밍 서비스를 제공하기 위한 신호방식 요구사항 정의</t>
    <phoneticPr fontId="1" type="noConversion"/>
  </si>
  <si>
    <t>이창규,  현육</t>
    <phoneticPr fontId="1" type="noConversion"/>
  </si>
  <si>
    <t>IEC 63245-1:2021</t>
    <phoneticPr fontId="1" type="noConversion"/>
  </si>
  <si>
    <t>Spatial wireless power transfer based on multiple magnetic resonances - Part 1: Requirements</t>
    <phoneticPr fontId="1" type="noConversion"/>
  </si>
  <si>
    <t>TC100 TA15</t>
    <phoneticPr fontId="1" type="noConversion"/>
  </si>
  <si>
    <t>공간무선전력전송을 위한 요구사항 정의</t>
  </si>
  <si>
    <t>조인귀</t>
    <phoneticPr fontId="1" type="noConversion"/>
  </si>
  <si>
    <t>Spatial wireless power transfer based on multiple magnetic resonances - Part 2: Reference model</t>
    <phoneticPr fontId="1" type="noConversion"/>
  </si>
  <si>
    <t>IEC 63245-2:2022</t>
    <phoneticPr fontId="1" type="noConversion"/>
  </si>
  <si>
    <t>공간무선전력전송을 위한 참조 모델 정의</t>
  </si>
  <si>
    <t>ITU-T Y.4224</t>
    <phoneticPr fontId="1" type="noConversion"/>
  </si>
  <si>
    <t>Requirements for digital twin federation in smart cities and communities</t>
    <phoneticPr fontId="1" type="noConversion"/>
  </si>
  <si>
    <t>디지털 트윈 연합을 위한 요구사항 정의</t>
  </si>
  <si>
    <t>SG20 의장(김형준)</t>
    <phoneticPr fontId="1" type="noConversion"/>
  </si>
  <si>
    <t xml:space="preserve">ITU-T Y.4489 </t>
    <phoneticPr fontId="1" type="noConversion"/>
  </si>
  <si>
    <t>Reference architecture of digital twin federation in smart cities and communities</t>
    <phoneticPr fontId="1" type="noConversion"/>
  </si>
  <si>
    <t>디지털 트윈 연합을 위한 참조 구조 정의</t>
  </si>
  <si>
    <t>DIGITAL TWIN ALLIANCE SYSTEM THROUGH LINKAGE BETWEEN MULTIPLE DIGITAL TWINS</t>
    <phoneticPr fontId="1" type="noConversion"/>
  </si>
  <si>
    <t xml:space="preserve">ITU-T Y.4605 </t>
    <phoneticPr fontId="1" type="noConversion"/>
  </si>
  <si>
    <t>Information exchange for digital twin federation in smart cities and communities</t>
    <phoneticPr fontId="1" type="noConversion"/>
  </si>
  <si>
    <t>디지털 트윈 연합을 위한 정보 교환 모델 정의</t>
  </si>
  <si>
    <t>ISO 23247-3</t>
    <phoneticPr fontId="1" type="noConversion"/>
  </si>
  <si>
    <t>Automation systems and integration — Digital twin framework for manufacturing — Part 3: Digital representation of manufacturing elements</t>
    <phoneticPr fontId="1" type="noConversion"/>
  </si>
  <si>
    <t>제조 분야에 적용하기 위한 디지털 트윈 프레임워크 중 제조 요소를 디지털 트윈으로 표현하기 위한 정보 요소 정의</t>
    <phoneticPr fontId="1" type="noConversion"/>
  </si>
  <si>
    <t>이현정, 이진영, 유상근, 김성혜</t>
    <phoneticPr fontId="1" type="noConversion"/>
  </si>
  <si>
    <t>ISO 23247-4</t>
    <phoneticPr fontId="1" type="noConversion"/>
  </si>
  <si>
    <t>Automation systems and integration — Digital twin framework for manufacturing — Part 4: Information exchange</t>
    <phoneticPr fontId="1" type="noConversion"/>
  </si>
  <si>
    <t xml:space="preserve">제조 분야에 적용하기 위한 디지털 트윈 프레임워크 중 정보교환 요구사항, 절차 등을 정의 </t>
  </si>
  <si>
    <t>Assessment on convergence of informatization and industrialization for industrial enterprises - Part 2: Maturity model and evaluation methodology</t>
    <phoneticPr fontId="1" type="noConversion"/>
  </si>
  <si>
    <t>ISO 22549-2</t>
    <phoneticPr fontId="1" type="noConversion"/>
  </si>
  <si>
    <t>스마트팩토리의 수준진단과 발전단계 정의를 위한 성숙도 모델 및 평가지표 정의</t>
  </si>
  <si>
    <t>유상근, 김용운</t>
    <phoneticPr fontId="1" type="noConversion"/>
  </si>
  <si>
    <t>ISO 23247-1</t>
    <phoneticPr fontId="1" type="noConversion"/>
  </si>
  <si>
    <t>Automation systems and integration — Digital twin framework for manufacturing — Part 1: Overview and general principles</t>
    <phoneticPr fontId="1" type="noConversion"/>
  </si>
  <si>
    <t>제조 분야에 적용하기 위한 디지털 트윈 프레임워크 중 개요 및 원칙 정의</t>
  </si>
  <si>
    <t>ISO 23247-2</t>
    <phoneticPr fontId="1" type="noConversion"/>
  </si>
  <si>
    <t>Automation systems and integration — Digital twin framework for manufacturing — Part 2: Reference architecture</t>
    <phoneticPr fontId="1" type="noConversion"/>
  </si>
  <si>
    <t>제조 분야에 적용하기 위한 디지털 트윈 프레임워크 중 참조구조를 정의</t>
  </si>
  <si>
    <t>김성혜, 유상근, 이현정, 이진영</t>
    <phoneticPr fontId="1" type="noConversion"/>
  </si>
  <si>
    <t>유상근, 이현정, 김성혜, 이진영</t>
    <phoneticPr fontId="1" type="noConversion"/>
  </si>
  <si>
    <t xml:space="preserve">ITU-T Y.4600 - Concept and use cases of a digital twin in smart sustainable cities </t>
    <phoneticPr fontId="1" type="noConversion"/>
  </si>
  <si>
    <t>스마트시티에 디지털트윈을 적용하기 위한 개념 및 유스케이스</t>
    <phoneticPr fontId="1" type="noConversion"/>
  </si>
  <si>
    <t>SG20 Q7</t>
    <phoneticPr fontId="1" type="noConversion"/>
  </si>
  <si>
    <t>ITU-T YSTR.BP-DTw</t>
    <phoneticPr fontId="1" type="noConversion"/>
  </si>
  <si>
    <t>Best Practices for Graphical Digital Twins of Smart Cities</t>
    <phoneticPr fontId="1" type="noConversion"/>
  </si>
  <si>
    <t>Requirements and capabilities of a digital twin system for smart cities</t>
    <phoneticPr fontId="1" type="noConversion"/>
  </si>
  <si>
    <t>ITU-T Y.4600</t>
    <phoneticPr fontId="1" type="noConversion"/>
  </si>
  <si>
    <t xml:space="preserve">ISO 37110 </t>
    <phoneticPr fontId="1" type="noConversion"/>
  </si>
  <si>
    <t>Sustainable cities and communities - Management requirements and recommendations for open data for smart cities and communities - Overview and general principles</t>
    <phoneticPr fontId="1" type="noConversion"/>
  </si>
  <si>
    <t>TC268 WG4</t>
    <phoneticPr fontId="1" type="noConversion"/>
  </si>
  <si>
    <t>스마트시티 오픈 데이터의 특징을 정의하고 스마트시티에서 오픈 데이터를 관리하기 위한 관리 모델 및 전략을 제시한다.</t>
  </si>
  <si>
    <t>이준섭, 이진영</t>
    <phoneticPr fontId="1" type="noConversion"/>
  </si>
  <si>
    <t>ITU-T Y.Suppl.58</t>
    <phoneticPr fontId="1" type="noConversion"/>
  </si>
  <si>
    <t>Internet of Things and smart cities and communities standards roadmap</t>
    <phoneticPr fontId="1" type="noConversion"/>
  </si>
  <si>
    <t>Hybrid peer-to-peer (P2P) communications: Functional architecture</t>
    <phoneticPr fontId="1" type="noConversion"/>
  </si>
  <si>
    <t>Hybrid peer-to-peer (P2P) communications: Overlay management protocol</t>
    <phoneticPr fontId="1" type="noConversion"/>
  </si>
  <si>
    <t>Hybrid peer-to-peer (P2P) communications: Tree and data recovery procedures</t>
    <phoneticPr fontId="1" type="noConversion"/>
  </si>
  <si>
    <t xml:space="preserve">ITU-T Q.5003  </t>
    <phoneticPr fontId="1" type="noConversion"/>
  </si>
  <si>
    <t>ITU-T F.748.24</t>
    <phoneticPr fontId="1" type="noConversion"/>
  </si>
  <si>
    <t xml:space="preserve">ITU-T H.704  </t>
    <phoneticPr fontId="1" type="noConversion"/>
  </si>
  <si>
    <t>ITU-T H.862.5</t>
    <phoneticPr fontId="1" type="noConversion"/>
  </si>
  <si>
    <t>Signalling requirements and architecture for
 federated multiaccess edge computing</t>
    <phoneticPr fontId="1" type="noConversion"/>
  </si>
  <si>
    <t>Trusted contribution 
evaluation framework on federated machine
 learning services</t>
    <phoneticPr fontId="1" type="noConversion"/>
  </si>
  <si>
    <t>Emotion enabled multimodal
 user interface based on artificial neural 
networks</t>
    <phoneticPr fontId="1" type="noConversion"/>
  </si>
  <si>
    <t xml:space="preserve">Enhanced user interface 
framework for IPTV terminal device
 - Gesture control interface  </t>
    <phoneticPr fontId="1" type="noConversion"/>
  </si>
  <si>
    <t xml:space="preserve">ITU-T Y.4475 </t>
    <phoneticPr fontId="1" type="noConversion"/>
  </si>
  <si>
    <t xml:space="preserve">ITU-T Y.4604  </t>
    <phoneticPr fontId="1" type="noConversion"/>
  </si>
  <si>
    <t>Lightweight intelligent 
software framework for Internet of 
things devices</t>
    <phoneticPr fontId="1" type="noConversion"/>
  </si>
  <si>
    <t xml:space="preserve">Metadata for camera sensing information 
of autonomous mobile IoT devices </t>
    <phoneticPr fontId="1" type="noConversion"/>
  </si>
  <si>
    <t>TS 23.501 (Release 17)</t>
    <phoneticPr fontId="1" type="noConversion"/>
  </si>
  <si>
    <t>System architecture for the 5G System (5GS);Stage 2</t>
    <phoneticPr fontId="1" type="noConversion"/>
  </si>
  <si>
    <t>Architecture enhancements for 5G System (5GS) to support
network data analytics services</t>
    <phoneticPr fontId="1" type="noConversion"/>
  </si>
  <si>
    <t>'TS 23.288 (Release 18)</t>
  </si>
  <si>
    <t>성지훈</t>
    <phoneticPr fontId="1" type="noConversion"/>
  </si>
  <si>
    <t>미국
미국</t>
    <phoneticPr fontId="1" type="noConversion"/>
  </si>
  <si>
    <t>Blockchain-based Data Management for supporting Internet of things and smart cities and communities</t>
    <phoneticPr fontId="1" type="noConversion"/>
  </si>
  <si>
    <t>OID-based resolution framework for transactions of a distributed ledger assigned to IoT resources</t>
    <phoneticPr fontId="1" type="noConversion"/>
  </si>
  <si>
    <t xml:space="preserve">TS 23.503 (Release 18)
</t>
    <phoneticPr fontId="1" type="noConversion"/>
  </si>
  <si>
    <t xml:space="preserve">Policy and charging control framework for the 5G System (5GS): Stage 2
</t>
    <phoneticPr fontId="1" type="noConversion"/>
  </si>
  <si>
    <t>Reference framework of converged service for identification and authentication for IoT devices in decentralized environment</t>
    <phoneticPr fontId="1" type="noConversion"/>
  </si>
  <si>
    <t>Transmission of IPv6 Packets over Near Field Communication</t>
    <phoneticPr fontId="1" type="noConversion"/>
  </si>
  <si>
    <t>Applicability and Use Cases for IPv6 over Networks of Resource-constrained Nodes (6lo)</t>
    <phoneticPr fontId="1" type="noConversion"/>
  </si>
  <si>
    <t>Cloud computing - Functional requirements for machine learning as a service</t>
    <phoneticPr fontId="1" type="noConversion"/>
  </si>
  <si>
    <t>Big data – Functional architecture for data provenance</t>
    <phoneticPr fontId="1" type="noConversion"/>
  </si>
  <si>
    <t>RFC9428</t>
    <phoneticPr fontId="1" type="noConversion"/>
  </si>
  <si>
    <t>RFC9453</t>
    <phoneticPr fontId="1" type="noConversion"/>
  </si>
  <si>
    <t>신성필</t>
    <phoneticPr fontId="1" type="noConversion"/>
  </si>
  <si>
    <t>PR20190978US(PR20190978)/PR20190978</t>
    <phoneticPr fontId="1" type="noConversion"/>
  </si>
  <si>
    <t>ISO/TS 23258:2021</t>
    <phoneticPr fontId="1" type="noConversion"/>
  </si>
  <si>
    <t>Blockchain and distributed ledger technologies Taxonomy and Ontology</t>
    <phoneticPr fontId="1" type="noConversion"/>
  </si>
  <si>
    <t>Framework of Internet of things based monitoring and management for lifts</t>
    <phoneticPr fontId="1" type="noConversion"/>
  </si>
  <si>
    <t>Big data - Reference architecture</t>
    <phoneticPr fontId="1" type="noConversion"/>
  </si>
  <si>
    <t>Cloud Computing - Functional requirements for container</t>
    <phoneticPr fontId="1" type="noConversion"/>
  </si>
  <si>
    <t xml:space="preserve">Cloud computing – Functional requirements for blockchain as a service </t>
    <phoneticPr fontId="1" type="noConversion"/>
  </si>
  <si>
    <t>Artificial intelligence standardization roadmap</t>
    <phoneticPr fontId="1" type="noConversion"/>
  </si>
  <si>
    <t>박정수, 최영환</t>
    <phoneticPr fontId="1" type="noConversion"/>
  </si>
  <si>
    <t>Blockchain-based data exchange and sharing for supporting Internet of things and smart cities and communities</t>
    <phoneticPr fontId="1" type="noConversion"/>
  </si>
  <si>
    <t>Formal verification framework for smart contract on distributed ledger technology</t>
    <phoneticPr fontId="1" type="noConversion"/>
  </si>
  <si>
    <t>Framework of delegation service for IoT devices</t>
    <phoneticPr fontId="1" type="noConversion"/>
  </si>
  <si>
    <t xml:space="preserve">Overview of blockchain for supporting Internet of things and smart cities and communities in data processing and management aspects
</t>
    <phoneticPr fontId="1" type="noConversion"/>
  </si>
  <si>
    <t>TS 23.288</t>
    <phoneticPr fontId="1" type="noConversion"/>
  </si>
  <si>
    <t>Architecture enhancements for 5G System (5GS) to support network data analytics services (Rel-17)</t>
    <phoneticPr fontId="1" type="noConversion"/>
  </si>
  <si>
    <t>Architecture for enabling Edge Applications (Rel-17)</t>
    <phoneticPr fontId="1" type="noConversion"/>
  </si>
  <si>
    <t xml:space="preserve">TS 23.558 </t>
    <phoneticPr fontId="1" type="noConversion"/>
  </si>
  <si>
    <t>- METHOD OF ENABLEMENT OF SERVICE API EXPOSED BY EAS AND DEVICES FOR PERFORMING THE SAME
- METHOD OF PERFORMING DYNAMIC EDGE APPLICATION SERVER (EAS) INSTANTIATION TRIGGERING AND APPARATUS FOR PERFORMING THE SAME</t>
    <phoneticPr fontId="1" type="noConversion"/>
  </si>
  <si>
    <t>이승익</t>
    <phoneticPr fontId="1" type="noConversion"/>
  </si>
  <si>
    <t xml:space="preserve">RFC 9138 </t>
    <phoneticPr fontId="1" type="noConversion"/>
  </si>
  <si>
    <t>RFC 9236</t>
    <phoneticPr fontId="1" type="noConversion"/>
  </si>
  <si>
    <t>Design Considerations for Name Resolution Service in Information-Centric Networking (ICN)</t>
    <phoneticPr fontId="1" type="noConversion"/>
  </si>
  <si>
    <t>Architectural Considerations of Information-Centric Networking (ICN) Using a Name Resolution Service</t>
    <phoneticPr fontId="1" type="noConversion"/>
  </si>
  <si>
    <t>Requirements of vehicle information for automated driving in vehicle gateway platforms</t>
    <phoneticPr fontId="1" type="noConversion"/>
  </si>
  <si>
    <t>출원/출원
출원/출원</t>
    <phoneticPr fontId="1" type="noConversion"/>
  </si>
  <si>
    <t>산업에너지융합연구본부</t>
  </si>
  <si>
    <t>이진호</t>
    <phoneticPr fontId="1" type="noConversion"/>
  </si>
  <si>
    <t xml:space="preserve">ITU-T H.266 </t>
    <phoneticPr fontId="1" type="noConversion"/>
  </si>
  <si>
    <t xml:space="preserve">ISO/IEC 23090-3 </t>
    <phoneticPr fontId="1" type="noConversion"/>
  </si>
  <si>
    <t>Versatile video coding</t>
    <phoneticPr fontId="1" type="noConversion"/>
  </si>
  <si>
    <t xml:space="preserve">Information Display Measurements Standard (IDMS) version 1.2  </t>
    <phoneticPr fontId="1" type="noConversion"/>
  </si>
  <si>
    <t xml:space="preserve">JPEG Pleno Database - Holography  </t>
    <phoneticPr fontId="1" type="noConversion"/>
  </si>
  <si>
    <t xml:space="preserve">IEEE Std 3079-2020 </t>
    <phoneticPr fontId="1" type="noConversion"/>
  </si>
  <si>
    <t xml:space="preserve">ITU-T H.862.4 </t>
    <phoneticPr fontId="1" type="noConversion"/>
  </si>
  <si>
    <t>Framework for information and communication technology olfactory function test systems</t>
    <phoneticPr fontId="1" type="noConversion"/>
  </si>
  <si>
    <t>개발된 표준문서는 ICT 기반 후각 검사 프레임워크에 대한 구성요소 및 절차를 명시한다. 첫째 향의 인지 능력을 검사하는 후각 인지 테스트 프로세스를 정의하고 둘째 향의 지각 한계를 검사하는 후각 역지 테스트 프로세스를 정의하고 셋째 향의 구분 능력을 검사하는 후각 식별 테스트 프로세스를 정의한다.</t>
    <phoneticPr fontId="1" type="noConversion"/>
  </si>
  <si>
    <t>PR20140249KR
(PR20140249)
/PR20140249</t>
    <phoneticPr fontId="1" type="noConversion"/>
  </si>
  <si>
    <t>PR20190876KRa</t>
    <phoneticPr fontId="1" type="noConversion"/>
  </si>
  <si>
    <t>- 모바일 방송이 결합된 방송시스템에서 3차원 방송서비스 및 방법
- 기존 2D 스케일러블 비디오 복호화 방식과 호환성을 유지하며 고정/이동방송 융합형 3DTV 서비스를 제공하기 위한 장치 및 방법</t>
    <phoneticPr fontId="1" type="noConversion"/>
  </si>
  <si>
    <t xml:space="preserve">ISO/IEC 30113-61 </t>
    <phoneticPr fontId="1" type="noConversion"/>
  </si>
  <si>
    <t xml:space="preserve">IEC 62868-1 </t>
    <phoneticPr fontId="1" type="noConversion"/>
  </si>
  <si>
    <t xml:space="preserve">IEC 63364-1 </t>
    <phoneticPr fontId="1" type="noConversion"/>
  </si>
  <si>
    <t xml:space="preserve">MPAI-MMC </t>
    <phoneticPr fontId="1" type="noConversion"/>
  </si>
  <si>
    <t>ITU-T F.746.10</t>
    <phoneticPr fontId="1" type="noConversion"/>
  </si>
  <si>
    <t>Gesture-based interface across devices and methods-part 61: single-point gestures for screen readers.</t>
    <phoneticPr fontId="1" type="noConversion"/>
  </si>
  <si>
    <t>Organic light emitting diode (OLED) Light sources for general lighting - Safety - Part 1: General requirements and tests</t>
    <phoneticPr fontId="1" type="noConversion"/>
  </si>
  <si>
    <t>Semiconductor devices - Semiconductor devices for IoT system - Part 1: Test method of sound variation detection</t>
    <phoneticPr fontId="1" type="noConversion"/>
  </si>
  <si>
    <t>Technical Specification-Multimodal Conversation v.1</t>
    <phoneticPr fontId="1" type="noConversion"/>
  </si>
  <si>
    <t>Architecture for spontaneous dialogue processing for language learning</t>
    <phoneticPr fontId="1" type="noConversion"/>
  </si>
  <si>
    <t>MPAI</t>
  </si>
  <si>
    <t>정혁</t>
    <phoneticPr fontId="1" type="noConversion"/>
  </si>
  <si>
    <t xml:space="preserve">RFC 9270 </t>
    <phoneticPr fontId="1" type="noConversion"/>
  </si>
  <si>
    <t>GMPLS Signaling Extensions for Shared Mesh Protection</t>
    <phoneticPr fontId="1" type="noConversion"/>
  </si>
  <si>
    <t>Optical transport network: Linear protection - Corrigendum 1</t>
    <phoneticPr fontId="1" type="noConversion"/>
  </si>
  <si>
    <t>Metro transport network (MTN) linear protection</t>
    <phoneticPr fontId="1" type="noConversion"/>
  </si>
  <si>
    <t>Optical transport network: Linear protection - Amendment 1</t>
    <phoneticPr fontId="1" type="noConversion"/>
  </si>
  <si>
    <t xml:space="preserve">3GPP TS 23.501 </t>
    <phoneticPr fontId="1" type="noConversion"/>
  </si>
  <si>
    <t>ITU-T G.sup71, Optical line termination capabilities for supporting cooperative dynamic bandwidth assignment 	
(2021/04)</t>
    <phoneticPr fontId="1" type="noConversion"/>
  </si>
  <si>
    <t>????</t>
    <phoneticPr fontId="1" type="noConversion"/>
  </si>
  <si>
    <t xml:space="preserve">출원 </t>
    <phoneticPr fontId="1" type="noConversion"/>
  </si>
  <si>
    <t>일본</t>
    <phoneticPr fontId="1" type="noConversion"/>
  </si>
  <si>
    <t xml:space="preserve">ITU-T Supplement K.29 </t>
    <phoneticPr fontId="1" type="noConversion"/>
  </si>
  <si>
    <t xml:space="preserve">ITU-R SM.2485-0 </t>
    <phoneticPr fontId="1" type="noConversion"/>
  </si>
  <si>
    <t xml:space="preserve">ITU-R S.2158 </t>
    <phoneticPr fontId="1" type="noConversion"/>
  </si>
  <si>
    <t>APT/AWG/Rep-135</t>
    <phoneticPr fontId="1" type="noConversion"/>
  </si>
  <si>
    <t>On-board processing in mobile-satellite service and fixed-satellite service systems</t>
    <phoneticPr fontId="1" type="noConversion"/>
  </si>
  <si>
    <t>이주열</t>
    <phoneticPr fontId="1" type="noConversion"/>
  </si>
  <si>
    <t>ITU-T X.1371</t>
    <phoneticPr fontId="1" type="noConversion"/>
  </si>
  <si>
    <t>Procedures for the evaluation of interference from any non-geostationary-satellite system into a global set of the generic geostationary-satellite reference links in the frequency bands 37.5-39.5 GHz (space-to-Earth), 39.5-42.5 GHz (space-to-Earth), 47.2-50.2 GHz (Earth-to-space) and 50.4-51.4 GHz (Earth-to-space)</t>
    <phoneticPr fontId="1" type="noConversion"/>
  </si>
  <si>
    <t>Security threats to connected vehicles</t>
    <phoneticPr fontId="1" type="noConversion"/>
  </si>
  <si>
    <t>Security guidelines for Ethernet-based in-vehicle networks</t>
    <phoneticPr fontId="1" type="noConversion"/>
  </si>
  <si>
    <t>ITU-T X.1381</t>
    <phoneticPr fontId="1" type="noConversion"/>
  </si>
  <si>
    <t>5G·6G 위성통신</t>
    <phoneticPr fontId="1" type="noConversion"/>
  </si>
  <si>
    <t>BSI</t>
  </si>
  <si>
    <t>5G·6G 위성통신</t>
  </si>
  <si>
    <t>Hybrid peer-to-per (P2P) communications: Control protocol for feature-based video services</t>
    <phoneticPr fontId="1" type="noConversion"/>
  </si>
  <si>
    <t xml:space="preserve">Requirements and capability framework for IoT-based automotive emergency response system  	</t>
    <phoneticPr fontId="1" type="noConversion"/>
  </si>
  <si>
    <t>ITU-T Y.4119</t>
    <phoneticPr fontId="1" type="noConversion"/>
  </si>
  <si>
    <t>Framework of climate change risk assessment for telecommunication and electrical facilities</t>
    <phoneticPr fontId="1" type="noConversion"/>
  </si>
  <si>
    <t>ITU-T L.1506</t>
    <phoneticPr fontId="1" type="noConversion"/>
  </si>
  <si>
    <t>Use of ICT sites to support environmental sensing</t>
    <phoneticPr fontId="1" type="noConversion"/>
  </si>
  <si>
    <t>ITU-T L.1507</t>
    <phoneticPr fontId="1" type="noConversion"/>
  </si>
  <si>
    <t>Guidelines on holistic investigation methodology for data centre key performance indicators</t>
    <phoneticPr fontId="1" type="noConversion"/>
  </si>
  <si>
    <t>ISO/IEC TR 20913</t>
    <phoneticPr fontId="1" type="noConversion"/>
  </si>
  <si>
    <t>Energy efficient computing models - Part 1: Guidelines for energy effectiveness evaluation</t>
    <phoneticPr fontId="1" type="noConversion"/>
  </si>
  <si>
    <t>ISO/IEC TR 30132-1</t>
    <phoneticPr fontId="1" type="noConversion"/>
  </si>
  <si>
    <t>Reference operational model and interface for improving energy efficiency of ICT network hosts</t>
    <phoneticPr fontId="1" type="noConversion"/>
  </si>
  <si>
    <t>ITU-T L.1321</t>
    <phoneticPr fontId="1" type="noConversion"/>
  </si>
  <si>
    <t>Transmission of IP over Ethernet over IEEE 802.16 Networks</t>
    <phoneticPr fontId="1" type="noConversion"/>
  </si>
  <si>
    <t>IETF RFC 5692</t>
    <phoneticPr fontId="1" type="noConversion"/>
  </si>
  <si>
    <t>Proxy Mobile IPv6 (PMIPv6) Localized Routing Problem Statement</t>
    <phoneticPr fontId="1" type="noConversion"/>
  </si>
  <si>
    <t>IETF RFC 6279</t>
    <phoneticPr fontId="1" type="noConversion"/>
  </si>
  <si>
    <t>Framework of network virtualization for Future Networks</t>
    <phoneticPr fontId="1" type="noConversion"/>
  </si>
  <si>
    <t>ITU-T Y.3011</t>
    <phoneticPr fontId="1" type="noConversion"/>
  </si>
  <si>
    <t>Requirements of network virtualization for Future Networks</t>
    <phoneticPr fontId="1" type="noConversion"/>
  </si>
  <si>
    <t>ITU-T Y.3012</t>
    <phoneticPr fontId="1" type="noConversion"/>
  </si>
  <si>
    <t>Deployment guidelines for ubiquitous sensor network applications and services for mitigating climate change</t>
    <phoneticPr fontId="1" type="noConversion"/>
  </si>
  <si>
    <t>Methodology for environmental life cycle assessments of information and communication technology goods, networks and services</t>
    <phoneticPr fontId="1" type="noConversion"/>
  </si>
  <si>
    <t>ITU-T L.1410</t>
    <phoneticPr fontId="1" type="noConversion"/>
  </si>
  <si>
    <t>ITU-T L.1410 Revision</t>
    <phoneticPr fontId="1" type="noConversion"/>
  </si>
  <si>
    <t>Best practices for green data centres</t>
    <phoneticPr fontId="1" type="noConversion"/>
  </si>
  <si>
    <t>ITU-T L.1300</t>
    <phoneticPr fontId="1" type="noConversion"/>
  </si>
  <si>
    <t xml:space="preserve">Methodology for assessment of the environmental impact of information and communication technology greenhouse gas and energy projects  </t>
    <phoneticPr fontId="1" type="noConversion"/>
  </si>
  <si>
    <t>ITU-T L.1430</t>
    <phoneticPr fontId="1" type="noConversion"/>
  </si>
  <si>
    <t xml:space="preserve">Testing and model network architecture for tag-based identification systems and functions  </t>
    <phoneticPr fontId="1" type="noConversion"/>
  </si>
  <si>
    <t>ITU-T Q.3950</t>
    <phoneticPr fontId="1" type="noConversion"/>
  </si>
  <si>
    <t>NGN service requirements and capabilities for network aspects of applications and services using tag-based identification</t>
    <phoneticPr fontId="1" type="noConversion"/>
  </si>
  <si>
    <t>ITU-T Y.2213</t>
    <phoneticPr fontId="1" type="noConversion"/>
  </si>
  <si>
    <t>Relayed multicast protocol: Framework</t>
    <phoneticPr fontId="1" type="noConversion"/>
  </si>
  <si>
    <t>ITU-T X.603</t>
    <phoneticPr fontId="1" type="noConversion"/>
  </si>
  <si>
    <t>Managed P2P communications: Peer Activity Management Protocol (PAMP)</t>
    <phoneticPr fontId="1" type="noConversion"/>
  </si>
  <si>
    <t>ITU-T X.609.1</t>
    <phoneticPr fontId="1" type="noConversion"/>
  </si>
  <si>
    <t>Managed P2P communications: Multimedia streaming overlay management protocol</t>
    <phoneticPr fontId="1" type="noConversion"/>
  </si>
  <si>
    <t>ITU-T X.609.5</t>
    <phoneticPr fontId="1" type="noConversion"/>
  </si>
  <si>
    <t>Managed P2P communications: Content distribution signalling requirements</t>
    <phoneticPr fontId="1" type="noConversion"/>
  </si>
  <si>
    <t>ITU-T X.609.6</t>
    <phoneticPr fontId="1" type="noConversion"/>
  </si>
  <si>
    <t>Managed P2P communications: Content distribution peer protocol</t>
    <phoneticPr fontId="1" type="noConversion"/>
  </si>
  <si>
    <t>ITU-T X.609.7</t>
    <phoneticPr fontId="1" type="noConversion"/>
  </si>
  <si>
    <t>Digital signage: Display device control interface</t>
    <phoneticPr fontId="1" type="noConversion"/>
  </si>
  <si>
    <t>ITU-T H.784</t>
    <phoneticPr fontId="1" type="noConversion"/>
  </si>
  <si>
    <t>Managed P2P communications: Management protocol for live data sources</t>
    <phoneticPr fontId="1" type="noConversion"/>
  </si>
  <si>
    <t>ITU-T 	X.609.8</t>
    <phoneticPr fontId="1" type="noConversion"/>
  </si>
  <si>
    <t>Information technology - Relayed multicast protocol: Specification for N-plex group applications</t>
    <phoneticPr fontId="1" type="noConversion"/>
  </si>
  <si>
    <t>ITU-T X.603.2</t>
    <phoneticPr fontId="1" type="noConversion"/>
  </si>
  <si>
    <t>Information technology - Mobile multicast communications: Protocol over overlay multicast networks</t>
    <phoneticPr fontId="1" type="noConversion"/>
  </si>
  <si>
    <t>ITU-T X.604.2</t>
    <phoneticPr fontId="1" type="noConversion"/>
  </si>
  <si>
    <t>Information technology - Relayed multicast protocol: Specification for simplex group applications</t>
    <phoneticPr fontId="1" type="noConversion"/>
  </si>
  <si>
    <t>ITU-T X.603.1</t>
    <phoneticPr fontId="1" type="noConversion"/>
  </si>
  <si>
    <t>Information technology — Telecommunications and information exchange between systems — Managed P2P: Framework</t>
    <phoneticPr fontId="1" type="noConversion"/>
  </si>
  <si>
    <t>ISO/IEC TR 20002</t>
    <phoneticPr fontId="1" type="noConversion"/>
  </si>
  <si>
    <t>Future Network: Problem Statement and Requirements – Part 6: Media Distribution</t>
    <phoneticPr fontId="1" type="noConversion"/>
  </si>
  <si>
    <t>ISO/IEC TR 29181-6</t>
    <phoneticPr fontId="1" type="noConversion"/>
  </si>
  <si>
    <t>Managed P2P communications: Overlay Resource Control Protocol (ORCP)</t>
    <phoneticPr fontId="1" type="noConversion"/>
  </si>
  <si>
    <t>ITU-T X.609.2</t>
    <phoneticPr fontId="1" type="noConversion"/>
  </si>
  <si>
    <t>Digital signage: Metadata</t>
    <phoneticPr fontId="1" type="noConversion"/>
  </si>
  <si>
    <t>ITU-T H.782</t>
    <phoneticPr fontId="1" type="noConversion"/>
  </si>
  <si>
    <t>APT REPORT ON “SERVICES AND APPLICATIONS OF WIRELESS POWER TRANSMISSION TECHNOLOGY”</t>
    <phoneticPr fontId="1" type="noConversion"/>
  </si>
  <si>
    <t>APT/AWG/REP-71</t>
    <phoneticPr fontId="1" type="noConversion"/>
  </si>
  <si>
    <t>Framework of wireless power transmission application service</t>
    <phoneticPr fontId="1" type="noConversion"/>
  </si>
  <si>
    <t>ITU-T Y.4202</t>
    <phoneticPr fontId="1" type="noConversion"/>
  </si>
  <si>
    <t>Machine socialization: Relation management models and descriptions</t>
    <phoneticPr fontId="1" type="noConversion"/>
  </si>
  <si>
    <t>ITU-T F.748.3</t>
    <phoneticPr fontId="1" type="noConversion"/>
  </si>
  <si>
    <t>Service description and requirements for multimedia
information access triggered by tag-based
identification
Amendment 1: Supporting multiple air
interfaces</t>
    <phoneticPr fontId="1" type="noConversion"/>
  </si>
  <si>
    <t>ITU-T F.771 ammendment 1</t>
    <phoneticPr fontId="1" type="noConversion"/>
  </si>
  <si>
    <t>Architecture of a system for multimedia information access triggered by tag-based identification Amendment 1: Supporting multiple air interfaces</t>
    <phoneticPr fontId="1" type="noConversion"/>
  </si>
  <si>
    <t>ITU-T H.621 ammendment 1</t>
    <phoneticPr fontId="1" type="noConversion"/>
  </si>
  <si>
    <t>2019 Internet of things (IoT) Interoperability for IoT systems Part 1: Framework</t>
    <phoneticPr fontId="1" type="noConversion"/>
  </si>
  <si>
    <t>ISO/IEC 21823-1</t>
    <phoneticPr fontId="1" type="noConversion"/>
  </si>
  <si>
    <t xml:space="preserve">Functional requirements and architecture of the NGN for applications and services using tag-based identification </t>
    <phoneticPr fontId="1" type="noConversion"/>
  </si>
  <si>
    <t>ITU-T Y.2016</t>
    <phoneticPr fontId="1" type="noConversion"/>
  </si>
  <si>
    <t>Functional requirements and architecture of the Next Generation Network for support of ubiquitous sensor network (USN) applications and services</t>
    <phoneticPr fontId="1" type="noConversion"/>
  </si>
  <si>
    <t>ITU-T Y.2026</t>
    <phoneticPr fontId="1" type="noConversion"/>
  </si>
  <si>
    <t>Common requirements for Internet of Things (IoT) applications</t>
    <phoneticPr fontId="1" type="noConversion"/>
  </si>
  <si>
    <t>ITU-T F.748.0</t>
    <phoneticPr fontId="1" type="noConversion"/>
  </si>
  <si>
    <t>Machine socialization: Overview and reference model</t>
    <phoneticPr fontId="1" type="noConversion"/>
  </si>
  <si>
    <t>ITU-T F.748.2</t>
    <phoneticPr fontId="1" type="noConversion"/>
  </si>
  <si>
    <t>Mobile item identification and management – User data for Mobile AIDC services</t>
    <phoneticPr fontId="1" type="noConversion"/>
  </si>
  <si>
    <t>ISO/IEC 29175</t>
    <phoneticPr fontId="1" type="noConversion"/>
  </si>
  <si>
    <t>Mobile item identification and management – Service broker for Mobile AIDC services</t>
    <phoneticPr fontId="1" type="noConversion"/>
  </si>
  <si>
    <t>ISO/IEC 29178</t>
    <phoneticPr fontId="1" type="noConversion"/>
  </si>
  <si>
    <t>Sensor networks: Sensor Network Reference Architecture - Part 1: General overview and requirements</t>
    <phoneticPr fontId="1" type="noConversion"/>
  </si>
  <si>
    <t>ISO/IEC 29182-1</t>
    <phoneticPr fontId="1" type="noConversion"/>
  </si>
  <si>
    <t>ISO 16300-2</t>
    <phoneticPr fontId="1" type="noConversion"/>
  </si>
  <si>
    <t>Electric vehicle battery swap system - Part 1: General and guidance</t>
    <phoneticPr fontId="1" type="noConversion"/>
  </si>
  <si>
    <t>IEC TS 62840-1</t>
    <phoneticPr fontId="1" type="noConversion"/>
  </si>
  <si>
    <t>Requirements and reference architecture of the machine-to-machine service layer</t>
    <phoneticPr fontId="1" type="noConversion"/>
  </si>
  <si>
    <t>ITU-T F.748.5</t>
    <phoneticPr fontId="1" type="noConversion"/>
  </si>
  <si>
    <t>Requirements and functional architecture for the open USN service platform</t>
    <phoneticPr fontId="1" type="noConversion"/>
  </si>
  <si>
    <t>ITU-T F.747.4</t>
    <phoneticPr fontId="1" type="noConversion"/>
  </si>
  <si>
    <t>Overview of the Internet of things</t>
    <phoneticPr fontId="1" type="noConversion"/>
  </si>
  <si>
    <t>ITU-T Y.2060</t>
    <phoneticPr fontId="1" type="noConversion"/>
  </si>
  <si>
    <t>Multimedia information access triggered by tag-based identification: Identification scheme</t>
    <phoneticPr fontId="1" type="noConversion"/>
  </si>
  <si>
    <t>ITU-T H.642.1</t>
    <phoneticPr fontId="1" type="noConversion"/>
  </si>
  <si>
    <t xml:space="preserve">Multimedia information access triggered by tag-based identification - Registration procedures for identifiers  </t>
    <phoneticPr fontId="1" type="noConversion"/>
  </si>
  <si>
    <t>ITU-T H.642.2</t>
    <phoneticPr fontId="1" type="noConversion"/>
  </si>
  <si>
    <t>Information technology - Automatic identification and data capture technique - Identifier resolution protocol for multimedia information access triggered by tag-based identification</t>
    <phoneticPr fontId="1" type="noConversion"/>
  </si>
  <si>
    <t>ITU-T H.642.3</t>
    <phoneticPr fontId="1" type="noConversion"/>
  </si>
  <si>
    <t>SNMP-based sensor network management framework</t>
    <phoneticPr fontId="1" type="noConversion"/>
  </si>
  <si>
    <t>ITU-T H.641</t>
    <phoneticPr fontId="1" type="noConversion"/>
  </si>
  <si>
    <t>Information technology - Open systems interconnection - Object identifier resolution system (ORS)</t>
    <phoneticPr fontId="1" type="noConversion"/>
  </si>
  <si>
    <t>ITU-T X.672</t>
    <phoneticPr fontId="1" type="noConversion"/>
  </si>
  <si>
    <t>ISO/IEC 29168-1</t>
    <phoneticPr fontId="1" type="noConversion"/>
  </si>
  <si>
    <t>Information technology
Open systems interconnection
Part 2: Procedures for the object identifier resolution system operational agency</t>
    <phoneticPr fontId="1" type="noConversion"/>
  </si>
  <si>
    <t>ISO/IEC 29168-2</t>
    <phoneticPr fontId="1" type="noConversion"/>
  </si>
  <si>
    <t>Information technology — Open Systems Interconnection — Procedures for the
operation of OSI Registration Authorities: Registration of object identifier arcs for applications and services using tagbased identification</t>
    <phoneticPr fontId="1" type="noConversion"/>
  </si>
  <si>
    <t>ITU-T X.668</t>
    <phoneticPr fontId="1" type="noConversion"/>
  </si>
  <si>
    <t>ISO/IEC 9834-9</t>
    <phoneticPr fontId="1" type="noConversion"/>
  </si>
  <si>
    <t>Functional architecture</t>
    <phoneticPr fontId="1" type="noConversion"/>
  </si>
  <si>
    <t>H.781 Digital signage</t>
    <phoneticPr fontId="1" type="noConversion"/>
  </si>
  <si>
    <t>X.609 Managed P2P communications</t>
    <phoneticPr fontId="1" type="noConversion"/>
  </si>
  <si>
    <t>Multimedia streaming signalling requirements</t>
    <phoneticPr fontId="1" type="noConversion"/>
  </si>
  <si>
    <t>X.609.3 Managed P2P communications</t>
    <phoneticPr fontId="1" type="noConversion"/>
  </si>
  <si>
    <t>Multimedia streaming peer protocol</t>
    <phoneticPr fontId="1" type="noConversion"/>
  </si>
  <si>
    <t>X.609.4 Managed P2P communications</t>
    <phoneticPr fontId="1" type="noConversion"/>
  </si>
  <si>
    <t>Content distribution signalling requirements</t>
    <phoneticPr fontId="1" type="noConversion"/>
  </si>
  <si>
    <t>X.609.6 Managed P2P communications</t>
    <phoneticPr fontId="1" type="noConversion"/>
  </si>
  <si>
    <t>Dual Stack Hosts Using "Bump-in-the-API" (BIA)</t>
    <phoneticPr fontId="1" type="noConversion"/>
  </si>
  <si>
    <t>RFC 3338</t>
    <phoneticPr fontId="1" type="noConversion"/>
  </si>
  <si>
    <t>IPv6 Deployment Scenarios in 802.16 Networks</t>
    <phoneticPr fontId="1" type="noConversion"/>
  </si>
  <si>
    <t>Application Aspects of IPv6 Transition</t>
    <phoneticPr fontId="1" type="noConversion"/>
  </si>
  <si>
    <t>RFC 4038</t>
    <phoneticPr fontId="1" type="noConversion"/>
  </si>
  <si>
    <t>RFC 5181</t>
    <phoneticPr fontId="1" type="noConversion"/>
  </si>
  <si>
    <t>Future networks: Objectives and design goals</t>
    <phoneticPr fontId="1" type="noConversion"/>
  </si>
  <si>
    <t>Future Networks : Problem Statement and Requirements – Overall aspects</t>
    <phoneticPr fontId="1" type="noConversion"/>
  </si>
  <si>
    <t>Framework of the IMT-2020 network</t>
    <phoneticPr fontId="1" type="noConversion"/>
  </si>
  <si>
    <t>ITU-T Y.3102</t>
    <phoneticPr fontId="1" type="noConversion"/>
  </si>
  <si>
    <t>Architecture of the IMT-2020 network</t>
    <phoneticPr fontId="1" type="noConversion"/>
  </si>
  <si>
    <t>ITU-T Y.3104</t>
    <phoneticPr fontId="1" type="noConversion"/>
  </si>
  <si>
    <t>Information technology — Cloud computing — Interoperability and portability</t>
    <phoneticPr fontId="1" type="noConversion"/>
  </si>
  <si>
    <t>ISO/IEC 19941</t>
    <phoneticPr fontId="1" type="noConversion"/>
  </si>
  <si>
    <t>Web-based terminal 
middleware for IPTV services</t>
    <phoneticPr fontId="1" type="noConversion"/>
  </si>
  <si>
    <t>ITU-T H.730</t>
    <phoneticPr fontId="1" type="noConversion"/>
  </si>
  <si>
    <t>Enhanced user interface 
framework for IPTV terminal devices</t>
    <phoneticPr fontId="1" type="noConversion"/>
  </si>
  <si>
    <t>ITU-T H.703</t>
    <phoneticPr fontId="1" type="noConversion"/>
  </si>
  <si>
    <t>Gesture Interface 
Markup Language</t>
    <phoneticPr fontId="1" type="noConversion"/>
  </si>
  <si>
    <t>ISO/IEC 30113-5</t>
    <phoneticPr fontId="1" type="noConversion"/>
  </si>
  <si>
    <t xml:space="preserve">Capabilities of ubiquitous sensor networks for supporting the requirements of smart metering services </t>
    <phoneticPr fontId="1" type="noConversion"/>
  </si>
  <si>
    <t>ITU-T Y.4251</t>
    <phoneticPr fontId="1" type="noConversion"/>
  </si>
  <si>
    <t>OID-based resolution framework for heterogeneous identifiers and locators</t>
    <phoneticPr fontId="1" type="noConversion"/>
  </si>
  <si>
    <t>ITU-T X.675</t>
    <phoneticPr fontId="1" type="noConversion"/>
  </si>
  <si>
    <t>Framework of constrained device networking in the IoT environments</t>
    <phoneticPr fontId="1" type="noConversion"/>
  </si>
  <si>
    <t>ITU-T Y.4451</t>
    <phoneticPr fontId="1" type="noConversion"/>
  </si>
  <si>
    <t>Common requirements and capabilities of a gateway for Internet of things applications</t>
    <phoneticPr fontId="1" type="noConversion"/>
  </si>
  <si>
    <t>ITU-T Y.4101</t>
    <phoneticPr fontId="1" type="noConversion"/>
  </si>
  <si>
    <t>Object identifier-based resolution framework for IoT grouped services</t>
    <phoneticPr fontId="1" type="noConversion"/>
  </si>
  <si>
    <t>ITU-T X.676</t>
    <phoneticPr fontId="1" type="noConversion"/>
  </si>
  <si>
    <t>Framework of self-organization network in Internet of things environments</t>
    <phoneticPr fontId="1" type="noConversion"/>
  </si>
  <si>
    <t>ITU-T Y.4417</t>
    <phoneticPr fontId="1" type="noConversion"/>
  </si>
  <si>
    <t xml:space="preserve">Network Functions Virtualisation (NFV) Release 2;
Protocols and Data Models; RESTful protocols specification for the Ve-Vnfm Reference Point
</t>
    <phoneticPr fontId="1" type="noConversion"/>
  </si>
  <si>
    <t>ETSI GS NFV-SOL 002 V2.5.2</t>
    <phoneticPr fontId="1" type="noConversion"/>
  </si>
  <si>
    <t>(ex Y.WoT) Framework of Web of Things</t>
    <phoneticPr fontId="1" type="noConversion"/>
  </si>
  <si>
    <t>(ex Y.OSE-arch) 	Open Service Environment Functional Architecture for NGN</t>
    <phoneticPr fontId="1" type="noConversion"/>
  </si>
  <si>
    <t>(ex H.WoT-SA) Web of things service architecture</t>
    <phoneticPr fontId="1" type="noConversion"/>
  </si>
  <si>
    <t>General overview of IPv6-based NGN</t>
    <phoneticPr fontId="1" type="noConversion"/>
  </si>
  <si>
    <t>ITU-T Y.2051</t>
    <phoneticPr fontId="1" type="noConversion"/>
  </si>
  <si>
    <t>Requirements of water quality assessment services in ubiquitous sensor network (USN)</t>
    <phoneticPr fontId="1" type="noConversion"/>
  </si>
  <si>
    <t>ITU-T F.747.6</t>
    <phoneticPr fontId="1" type="noConversion"/>
  </si>
  <si>
    <t>Security services using software-defined networking</t>
    <phoneticPr fontId="1" type="noConversion"/>
  </si>
  <si>
    <t>ITU-T X.1042</t>
    <phoneticPr fontId="1" type="noConversion"/>
  </si>
  <si>
    <t xml:space="preserve">Security framework and requirements for service function chaining based on software-defined networking
</t>
    <phoneticPr fontId="1" type="noConversion"/>
  </si>
  <si>
    <t>ITU-T X.1043</t>
    <phoneticPr fontId="1" type="noConversion"/>
  </si>
  <si>
    <t>Identification and configuration of resources for multi-connection</t>
    <phoneticPr fontId="1" type="noConversion"/>
  </si>
  <si>
    <t>ITU-T Y.2252</t>
    <phoneticPr fontId="1" type="noConversion"/>
  </si>
  <si>
    <t>Framework of Identifiers and Locators Separation in IPv6-based Next Generation Networks</t>
    <phoneticPr fontId="1" type="noConversion"/>
  </si>
  <si>
    <t>ITU-T Y.2057</t>
    <phoneticPr fontId="1" type="noConversion"/>
  </si>
  <si>
    <t>Functional architecture for the support of host-based ID/locator separation in NGN</t>
    <phoneticPr fontId="1" type="noConversion"/>
  </si>
  <si>
    <t>ITU-T Y.2022</t>
    <phoneticPr fontId="1" type="noConversion"/>
  </si>
  <si>
    <t>General requirements for ID/locator separation in NGN</t>
    <phoneticPr fontId="1" type="noConversion"/>
  </si>
  <si>
    <t>ITU-T Y.2015</t>
    <phoneticPr fontId="1" type="noConversion"/>
  </si>
  <si>
    <t>A Method for Generating Link-Scoped IPv6 Multicast Addresses</t>
    <phoneticPr fontId="1" type="noConversion"/>
  </si>
  <si>
    <t>IETF RFC4489</t>
    <phoneticPr fontId="1" type="noConversion"/>
  </si>
  <si>
    <t>Framework for multicast-based IPTV content delivery</t>
    <phoneticPr fontId="1" type="noConversion"/>
  </si>
  <si>
    <t>Functional requirements of Mobile IPTV</t>
    <phoneticPr fontId="1" type="noConversion"/>
  </si>
  <si>
    <t>Scenarios and use cases of mobile IPTV</t>
    <phoneticPr fontId="1" type="noConversion"/>
  </si>
  <si>
    <t>Guidelines on deployment of IP multicast for IPTV content delivery</t>
    <phoneticPr fontId="1" type="noConversion"/>
  </si>
  <si>
    <t>Smart Ubiquitous Networks - Functional architecture of content delivery</t>
    <phoneticPr fontId="1" type="noConversion"/>
  </si>
  <si>
    <t>Framework of Software-Defined Networking</t>
    <phoneticPr fontId="1" type="noConversion"/>
  </si>
  <si>
    <t>Functional architecture of software-defined networking</t>
    <phoneticPr fontId="1" type="noConversion"/>
  </si>
  <si>
    <t>Procedures for the 5G System (5GS) (Rel-16)</t>
    <phoneticPr fontId="1" type="noConversion"/>
  </si>
  <si>
    <t>System Architecture for the 5G System (5GS) (Rel-15)</t>
    <phoneticPr fontId="1" type="noConversion"/>
  </si>
  <si>
    <t>IPTV application event handling: Audience measurement operations for IPTV services</t>
    <phoneticPr fontId="1" type="noConversion"/>
  </si>
  <si>
    <t>IPTV application event handling: 
Data structures of audience measurement for IPTV services</t>
    <phoneticPr fontId="1" type="noConversion"/>
  </si>
  <si>
    <t>IPTV application event handling: 
Audience measurement for IPTV distributed content services</t>
    <phoneticPr fontId="1" type="noConversion"/>
  </si>
  <si>
    <t>IPTV application event handling: Transport mechanisms for audience measurement
Amendment 1: XML schema on the data structures for message delivery</t>
    <phoneticPr fontId="1" type="noConversion"/>
  </si>
  <si>
    <t>Digital signage: Audience measurement services</t>
    <phoneticPr fontId="1" type="noConversion"/>
  </si>
  <si>
    <t>ETSI</t>
  </si>
  <si>
    <t>Information technology – Home network resource management – Part 1: Requirements</t>
    <phoneticPr fontId="1" type="noConversion"/>
  </si>
  <si>
    <t>ISO/IEC 30100-1</t>
    <phoneticPr fontId="1" type="noConversion"/>
  </si>
  <si>
    <t>Information technology – Home network resource management – Part 2: Architecture</t>
    <phoneticPr fontId="1" type="noConversion"/>
  </si>
  <si>
    <t>ISO/IEC 30100-2</t>
    <phoneticPr fontId="1" type="noConversion"/>
  </si>
  <si>
    <t>Information technology – Home network resource management – Part 3: Management application</t>
    <phoneticPr fontId="1" type="noConversion"/>
  </si>
  <si>
    <t>ISO/IEC 30100-3</t>
    <phoneticPr fontId="1" type="noConversion"/>
  </si>
  <si>
    <t>Robotic Interaction Service</t>
    <phoneticPr fontId="1" type="noConversion"/>
  </si>
  <si>
    <t>formal/2018-05-04</t>
    <phoneticPr fontId="1" type="noConversion"/>
  </si>
  <si>
    <t>High efficiency video coding</t>
    <phoneticPr fontId="1" type="noConversion"/>
  </si>
  <si>
    <t>ITU-T H.265</t>
    <phoneticPr fontId="1" type="noConversion"/>
  </si>
  <si>
    <t>ISO/IEC 23008-2</t>
    <phoneticPr fontId="1" type="noConversion"/>
  </si>
  <si>
    <t>Information technology -- MPEG audio technologies -- Part 3: Unified speech and audio coding</t>
    <phoneticPr fontId="1" type="noConversion"/>
  </si>
  <si>
    <t>ISO/IEC DIS 23003-3</t>
    <phoneticPr fontId="1" type="noConversion"/>
  </si>
  <si>
    <t>Information technology -- High efficiency coding and media delivery in heterogeneous environments Part 3: 3D Audio</t>
    <phoneticPr fontId="1" type="noConversion"/>
  </si>
  <si>
    <t>ISO/IEC DIS 23008-3</t>
    <phoneticPr fontId="1" type="noConversion"/>
  </si>
  <si>
    <t>TECHNICAL REPORT on Holographic display – General information</t>
    <phoneticPr fontId="1" type="noConversion"/>
  </si>
  <si>
    <t>IEC TR 62629-41-1</t>
    <phoneticPr fontId="1" type="noConversion"/>
  </si>
  <si>
    <t>Touch and interactive displays - Part 12-10: Measurement methods of touch displays - Touch and electrical performance</t>
    <phoneticPr fontId="1" type="noConversion"/>
  </si>
  <si>
    <t>IEC 62908-12-10</t>
    <phoneticPr fontId="1" type="noConversion"/>
  </si>
  <si>
    <t>Electronic paper displays - Part 4-2: Environmental test methods</t>
    <phoneticPr fontId="1" type="noConversion"/>
  </si>
  <si>
    <t>IEC 62679-4-2</t>
    <phoneticPr fontId="1" type="noConversion"/>
  </si>
  <si>
    <t>Semiconductor devices - Flexible and stretchable semiconductor devices - Part 2: Evaluation method for electron mobility, sub-threshold swing and threshold voltage of flexible devices</t>
    <phoneticPr fontId="1" type="noConversion"/>
  </si>
  <si>
    <t>IEC 62951-2</t>
    <phoneticPr fontId="1" type="noConversion"/>
  </si>
  <si>
    <t>Semiconductor devices - Flexible and stretchable semiconductor devices - Part 6: Test method for sheet resistance of flexible conducting films</t>
    <phoneticPr fontId="1" type="noConversion"/>
  </si>
  <si>
    <t>IEC 62951-6</t>
    <phoneticPr fontId="1" type="noConversion"/>
  </si>
  <si>
    <t>Organic light emitting diode (OLED) panels for general lighting - Performance requirements</t>
    <phoneticPr fontId="1" type="noConversion"/>
  </si>
  <si>
    <t>IEC 62922</t>
    <phoneticPr fontId="1" type="noConversion"/>
  </si>
  <si>
    <t>프리폼 디스플레이</t>
  </si>
  <si>
    <t>MPLS Transport Profile (MPLS-TP) Linear Protection to Match the Operational Expectations of SDH, OTN and Ethernet Transport Network Operators</t>
    <phoneticPr fontId="1" type="noConversion"/>
  </si>
  <si>
    <t>RFC 7271</t>
    <phoneticPr fontId="1" type="noConversion"/>
  </si>
  <si>
    <t>Linear protection switching for MPLS transport profile</t>
    <phoneticPr fontId="1" type="noConversion"/>
  </si>
  <si>
    <t>Pre-standard Linear Protection Switching in MPLS Transport Profile (MPLS-TP)</t>
    <phoneticPr fontId="1" type="noConversion"/>
  </si>
  <si>
    <t>RFC 7347</t>
    <phoneticPr fontId="1" type="noConversion"/>
  </si>
  <si>
    <t>Requirements for MPLS Transport Profile (MPLS-TP) Shared Mesh Protection</t>
    <phoneticPr fontId="1" type="noConversion"/>
  </si>
  <si>
    <t>RFC 7412</t>
    <phoneticPr fontId="1" type="noConversion"/>
  </si>
  <si>
    <t>ODUk shared ring protection</t>
    <phoneticPr fontId="1" type="noConversion"/>
  </si>
  <si>
    <t>Terms and definitions for network protection and restoration</t>
    <phoneticPr fontId="1" type="noConversion"/>
  </si>
  <si>
    <t>MPLS Transport Profile Linear Protection MIB</t>
    <phoneticPr fontId="1" type="noConversion"/>
  </si>
  <si>
    <t>RFC 8150</t>
    <phoneticPr fontId="1" type="noConversion"/>
  </si>
  <si>
    <t>Updates to MPLS Transport Profile (MPLS-TP) Linear Protection in Automatic Protection Switching (APS) Mode</t>
    <phoneticPr fontId="1" type="noConversion"/>
  </si>
  <si>
    <t>RFC 8234</t>
    <phoneticPr fontId="1" type="noConversion"/>
  </si>
  <si>
    <t>MPLS-TP shared ring protection</t>
    <phoneticPr fontId="1" type="noConversion"/>
  </si>
  <si>
    <t xml:space="preserve">TS 23.501 </t>
    <phoneticPr fontId="1" type="noConversion"/>
  </si>
  <si>
    <t>TS 23:502</t>
    <phoneticPr fontId="1" type="noConversion"/>
  </si>
  <si>
    <t>Generic protection switching - Ring protection</t>
    <phoneticPr fontId="1" type="noConversion"/>
  </si>
  <si>
    <t>5G wireless fronthaul requirements in a passive optical network context (2019/07)</t>
    <phoneticPr fontId="1" type="noConversion"/>
  </si>
  <si>
    <t>RoF systems</t>
    <phoneticPr fontId="1" type="noConversion"/>
  </si>
  <si>
    <t>ITU-T G.9803</t>
    <phoneticPr fontId="1" type="noConversion"/>
  </si>
  <si>
    <t>(Fibre optic active components and devices - Performance standards - Part 10: RoF (radio over fiber) transceivers for mobile fronthaul)</t>
    <phoneticPr fontId="1" type="noConversion"/>
  </si>
  <si>
    <t>IEC 62149-10 Ed.1.0</t>
    <phoneticPr fontId="1" type="noConversion"/>
  </si>
  <si>
    <t>Measurement of radio frequency electromagnetic fields to determine compliance with human exposure limits when a base station is put into service</t>
    <phoneticPr fontId="1" type="noConversion"/>
  </si>
  <si>
    <t>ITU-T K.100</t>
    <phoneticPr fontId="1" type="noConversion"/>
  </si>
  <si>
    <t>Propagation data and prediction methods for the planning of short-range outdoor radiocommunication systems and radio local area networks in the frequency range 300 MHz to 100 GHz</t>
    <phoneticPr fontId="1" type="noConversion"/>
  </si>
  <si>
    <t>ITU-R P.1411-10</t>
    <phoneticPr fontId="1" type="noConversion"/>
  </si>
  <si>
    <t>ITU-R P.1238-10</t>
    <phoneticPr fontId="1" type="noConversion"/>
  </si>
  <si>
    <t xml:space="preserve">Use of the frequency bands 17.7-19.7 GHz and 27.5-29.5 GHz by earth stations in motion communicating with geostationary space stations
in the fixed-satellite service </t>
    <phoneticPr fontId="1" type="noConversion"/>
  </si>
  <si>
    <t xml:space="preserve">Resolution 169 of Radio Regulations </t>
    <phoneticPr fontId="1" type="noConversion"/>
  </si>
  <si>
    <t>Coexistence of International Mobile Telecommunications and the broadcasting-satellite service (sound) in the frequency band
1 452-1 492 MHz in Regions 1 and 3</t>
    <phoneticPr fontId="1" type="noConversion"/>
  </si>
  <si>
    <t>Resolution 761</t>
    <phoneticPr fontId="1" type="noConversion"/>
  </si>
  <si>
    <t>Methodology to evaluate interference from fixed service systems using high altitude platform stations to fixed wireless systems in the bands above 3 GHz</t>
    <phoneticPr fontId="1" type="noConversion"/>
  </si>
  <si>
    <t>Technical and operational characteristics of gateway links in the fixed service using high altitude platform stations in the band 5 850-7 075 MHz to be used in sharing studies</t>
    <phoneticPr fontId="1" type="noConversion"/>
  </si>
  <si>
    <t>2016 Intelligent transport systems - Indoor navigation for personal and vehicle ITS station - Part 1: General information and use case definition</t>
    <phoneticPr fontId="1" type="noConversion"/>
  </si>
  <si>
    <t>ISO 17438-1</t>
    <phoneticPr fontId="1" type="noConversion"/>
  </si>
  <si>
    <t>2019 Intelligent transport systems - Indoor navigation for personal and vehicle ITS station - Part 4: Requirements and specifications for interface between personal/vehicle and central ITS stations</t>
    <phoneticPr fontId="1" type="noConversion"/>
  </si>
  <si>
    <t>ISO 17438-4</t>
    <phoneticPr fontId="1" type="noConversion"/>
  </si>
  <si>
    <t>Requirements and architecture for indoor conversational robot systems</t>
    <phoneticPr fontId="1" type="noConversion"/>
  </si>
  <si>
    <t>Intelligent transport systems (ITS) — Guidance protocol via personal ITS station for advisory safety systems — Part 2: Road guidance protocol (RGP) requirements and specification</t>
    <phoneticPr fontId="1" type="noConversion"/>
  </si>
  <si>
    <t>ISO 13184</t>
    <phoneticPr fontId="1" type="noConversion"/>
  </si>
  <si>
    <t>IEEE standard for robot map data representation for navigation</t>
    <phoneticPr fontId="1" type="noConversion"/>
  </si>
  <si>
    <t>P1873-2015</t>
    <phoneticPr fontId="1" type="noConversion"/>
  </si>
  <si>
    <t>1.미국</t>
    <phoneticPr fontId="1" type="noConversion"/>
  </si>
  <si>
    <t>1. VEHICLE EMERGENCY NOTIFICATION APPARATUS AND METHOD USING EXTERNAL TERMINAL</t>
    <phoneticPr fontId="1" type="noConversion"/>
  </si>
  <si>
    <t>1. 미국</t>
    <phoneticPr fontId="1" type="noConversion"/>
  </si>
  <si>
    <t>1. OPERATION METHOD OF PEER TO PEER NETWORK MANAGEMENT SYSTEM AND PEER TO PEER NETWORK MANAGEMENT SYSTEM</t>
    <phoneticPr fontId="1" type="noConversion"/>
  </si>
  <si>
    <t>1. DISPLAY DEVICE CONNECTION METHOD FOR RAPIDLY DELIVERING DATA TO PLURALITY OF DISPLAY DEVICES</t>
    <phoneticPr fontId="1" type="noConversion"/>
  </si>
  <si>
    <t xml:space="preserve">1. 한국
2. 미국
3. 미국 </t>
    <phoneticPr fontId="1" type="noConversion"/>
  </si>
  <si>
    <t>1. 피투피 네트워크에서 피어의 상태 정보를 관리하거나 공유하는 방법 및 장치
2. 네트워크 관리 서버의 자원 관리 방법 및 네트워크 관리 서버를 포함하는 피투피 시스템
3. 오버레이 관리 서버 및 이의 자원 할당 방법</t>
    <phoneticPr fontId="1" type="noConversion"/>
  </si>
  <si>
    <t>1. 김성혜
2. 김성혜
3. 김성혜</t>
    <phoneticPr fontId="1" type="noConversion"/>
  </si>
  <si>
    <t>1. 중계전송 오버레이 멀티캐스트 기능에서 안정된 멀티캐스트 트리 구성을 위한 세션 관리 방법
2. 오버레이 멀티캐스트 네트워크 기반 오버레이 멀티캐스트 서비스 제공 방법 및 그 장치
3. 중계전송 멀티캐스트 네트워크에서 멀티캐스트 에이전트에게 매개변수를 전송하는 방법 및 장치</t>
    <phoneticPr fontId="1" type="noConversion"/>
  </si>
  <si>
    <t>1. 무선 충전 장치, 무선 충전 단말 및 무선 충전 서비스 제공 방법</t>
    <phoneticPr fontId="1" type="noConversion"/>
  </si>
  <si>
    <t>1. 한국</t>
    <phoneticPr fontId="1" type="noConversion"/>
  </si>
  <si>
    <t>1. 김성혜</t>
    <phoneticPr fontId="1" type="noConversion"/>
  </si>
  <si>
    <t>1. Method for operating relation server and system using same</t>
    <phoneticPr fontId="1" type="noConversion"/>
  </si>
  <si>
    <t>1. 정영식</t>
    <phoneticPr fontId="1" type="noConversion"/>
  </si>
  <si>
    <t>1. 유럽</t>
    <phoneticPr fontId="1" type="noConversion"/>
  </si>
  <si>
    <t>1. APPARATUS FOR RESOLVING CODE, APPARATUS FOR PROVIDING CODE INFORMATION AND THE METHOD THEREOF</t>
    <phoneticPr fontId="1" type="noConversion"/>
  </si>
  <si>
    <t>1. 이준섭</t>
    <phoneticPr fontId="1" type="noConversion"/>
  </si>
  <si>
    <t>1. METHOD FOR PROOF OF PLAY (PoP) OF DIGITAL SIGNAGE CONTENT</t>
    <phoneticPr fontId="1" type="noConversion"/>
  </si>
  <si>
    <t>1. PEER-TO-PEER NETWORK SYSTEM WITH MANAGEABILITY</t>
    <phoneticPr fontId="1" type="noConversion"/>
  </si>
  <si>
    <t>1. PEER AND OPERATION METHOD THEREOF
2. PEER AND METHOD FOR ADJUSTING STARTING POINT OF THE PEER</t>
    <phoneticPr fontId="1" type="noConversion"/>
  </si>
  <si>
    <t>1. 현욱</t>
    <phoneticPr fontId="1" type="noConversion"/>
  </si>
  <si>
    <t>1. 현욱
2. 현욱</t>
    <phoneticPr fontId="1" type="noConversion"/>
  </si>
  <si>
    <t>1. APPARATUS AND METHOD FOR IDENTIFYING INTEROPERABILITY BETWEEN OBJECT IDENTIFIER-BASED HETEROGENEOUS IDENTIFIER NODES FOR NEXT GENERATION NETWORK'</t>
    <phoneticPr fontId="1" type="noConversion"/>
  </si>
  <si>
    <t>1. METHOD OF DEFINING INTERFACE IDENTIFIER (IID) OF IPv6 ADDRESS AND A COMMUNICATION DEVICE OPERATING THE SAME
2, METHOD OF MAINTAINING INTERNET PROTOCOL (IP) CONNECTIVITY IN LOW POWER INTERNET OF THINGS (IoT) COMMUNICATION DEVICE BASED ON NEAR FIELD COMMUNICATION (NFC), AND DEVICE OPERATING THE SAME</t>
    <phoneticPr fontId="1" type="noConversion"/>
  </si>
  <si>
    <t>1. METHOD OF IDENTIFYING INTERNET OF THINGS GROUP SERVICE BASED ON OBJECT IDENTIFIE</t>
    <phoneticPr fontId="1" type="noConversion"/>
  </si>
  <si>
    <t>1. METHOD OF ERROR RECOVERY IN MOBILE COMMUNICATION SYSTEMS</t>
    <phoneticPr fontId="1" type="noConversion"/>
  </si>
  <si>
    <t>1. 최영환</t>
    <phoneticPr fontId="1" type="noConversion"/>
  </si>
  <si>
    <t>1. 최영환
2. 최영환</t>
    <phoneticPr fontId="1" type="noConversion"/>
  </si>
  <si>
    <t>1. NON-IP DATA DELIVERY AUTHORIZATION UPDATE METHOD AND CONNECTION RELEASE METHOD FOR NON-IP DATA DELIVERY, AND DEVICE FOR PERFORMING THE METHOD</t>
    <phoneticPr fontId="1" type="noConversion"/>
  </si>
  <si>
    <t xml:space="preserve">1. COMMUNICATION METHOD AND APPARATUS USING NETWORK SLICING
</t>
    <phoneticPr fontId="1" type="noConversion"/>
  </si>
  <si>
    <t>1. 이승익</t>
    <phoneticPr fontId="1" type="noConversion"/>
  </si>
  <si>
    <t>1, 다채널 오디오 신호의 바이노럴 렌더링 방법 및 장치</t>
    <phoneticPr fontId="1" type="noConversion"/>
  </si>
  <si>
    <t>1. 이용주</t>
    <phoneticPr fontId="1" type="noConversion"/>
  </si>
  <si>
    <t>1. 모바일 방송이 결합된 방송시스템에서 3차원 방송서비스 및 방법
2. 기존 2D 스케일러블 비디오 복호화 방식과 호환성을 유지하며 고정/이동방송 융합형 3DTV 서비스를 제공하기 위한 장치 및 방법</t>
    <phoneticPr fontId="1" type="noConversion"/>
  </si>
  <si>
    <t>1. 미국
1. 미국</t>
    <phoneticPr fontId="1" type="noConversion"/>
  </si>
  <si>
    <t>1. 보호 절체를 위한 선택적 브로드캐스트 브릿지
2. 보호 절체 방법 및 그 장치</t>
    <phoneticPr fontId="1" type="noConversion"/>
  </si>
  <si>
    <t>1. 류정동
2. 김대업</t>
    <phoneticPr fontId="1" type="noConversion"/>
  </si>
  <si>
    <t>1. NON-ACCESS STRATUM BASED ACCESS METHOD AND TERMINAL SUPPORTING THE SAME
2, METHOD FOR RELEASING CONTEXT OF USER EQUIPMENT IN NON-3GPP ACCESS NETWORK AND NETWORK ENTITY PERFORMING THE SAME</t>
    <phoneticPr fontId="1" type="noConversion"/>
  </si>
  <si>
    <t>1. PACKET DATA UNIT SESSION ESTABLISHMENT METHOD AND NETWORK ENTITY PERFORMING THE SAME</t>
    <phoneticPr fontId="1" type="noConversion"/>
  </si>
  <si>
    <t>1. 강유화
2. 강유화</t>
    <phoneticPr fontId="1" type="noConversion"/>
  </si>
  <si>
    <t>1. 김창기</t>
    <phoneticPr fontId="1" type="noConversion"/>
  </si>
  <si>
    <t>1. COOPERATIAVE DYNAMIC BANDWIDTH ALLOCATION METHOD IN MOBILE NETWORK WITH OPTICAL NETWORK, AND DEVICE OF PERFORMING THE COOPERATIAVE DYNAMIC BANDWIDTH ALLOCATION METHOD</t>
    <phoneticPr fontId="1" type="noConversion"/>
  </si>
  <si>
    <t>1. 시간 및 파장 분할 다중화 - 수동형 광가입자 망 시스템 및 이의 통신 연결 방법</t>
    <phoneticPr fontId="1" type="noConversion"/>
  </si>
  <si>
    <t>1. 모바일 프론트홀 구현을 위한 RoF 전송시스템</t>
    <phoneticPr fontId="1" type="noConversion"/>
  </si>
  <si>
    <t>1. METHOD AND DEVICE FOR EVALUATING INFLUENCE OF ELECTROMAGENTIC WAVES OF  BASE STATION ON HUMAN BODY</t>
    <phoneticPr fontId="1" type="noConversion"/>
  </si>
  <si>
    <t>1. Method and apparatus of hybrid burst mapping in OFDMA systems</t>
    <phoneticPr fontId="1" type="noConversion"/>
  </si>
  <si>
    <t>1. 정환석</t>
    <phoneticPr fontId="1" type="noConversion"/>
  </si>
  <si>
    <t xml:space="preserve">1. 이한협 </t>
    <phoneticPr fontId="1" type="noConversion"/>
  </si>
  <si>
    <t>1. 조승현</t>
    <phoneticPr fontId="1" type="noConversion"/>
  </si>
  <si>
    <t>1. 김병찬</t>
    <phoneticPr fontId="1" type="noConversion"/>
  </si>
  <si>
    <t>1. 황성현</t>
    <phoneticPr fontId="1" type="noConversion"/>
  </si>
  <si>
    <t>1. 일본</t>
    <phoneticPr fontId="1" type="noConversion"/>
  </si>
  <si>
    <t>1. 노매딕 장치를 이용한 안전지원용 유도프로토콜</t>
    <phoneticPr fontId="1" type="noConversion"/>
  </si>
  <si>
    <t>1. 최정단</t>
    <phoneticPr fontId="1" type="noConversion"/>
  </si>
  <si>
    <t xml:space="preserve">ITU-T </t>
    <phoneticPr fontId="1" type="noConversion"/>
  </si>
  <si>
    <t>ITU-T Q.4100</t>
    <phoneticPr fontId="1" type="noConversion"/>
  </si>
  <si>
    <t>ITU-T Q.4101</t>
    <phoneticPr fontId="1" type="noConversion"/>
  </si>
  <si>
    <t>ITU-T Q.4103</t>
    <phoneticPr fontId="1" type="noConversion"/>
  </si>
  <si>
    <t xml:space="preserve">ITU-T X.609.9  </t>
    <phoneticPr fontId="1" type="noConversion"/>
  </si>
  <si>
    <t>ITU-T Y.4561</t>
    <phoneticPr fontId="1" type="noConversion"/>
  </si>
  <si>
    <t>ITU-T Y.4476</t>
    <phoneticPr fontId="1" type="noConversion"/>
  </si>
  <si>
    <t>ITU-T Y.4477</t>
    <phoneticPr fontId="1" type="noConversion"/>
  </si>
  <si>
    <t>ITU-T Y.4811</t>
    <phoneticPr fontId="1" type="noConversion"/>
  </si>
  <si>
    <t>ITU-T Y.3531</t>
    <phoneticPr fontId="1" type="noConversion"/>
  </si>
  <si>
    <t>ITU-T Y.3607</t>
    <phoneticPr fontId="1" type="noConversion"/>
  </si>
  <si>
    <t>ITU-T Y.Suppl. 72</t>
    <phoneticPr fontId="1" type="noConversion"/>
  </si>
  <si>
    <t xml:space="preserve">ITU-T Y.3530     </t>
    <phoneticPr fontId="1" type="noConversion"/>
  </si>
  <si>
    <t>ITU-T Y.3535</t>
    <phoneticPr fontId="1" type="noConversion"/>
  </si>
  <si>
    <t>ITU-T Y.3605</t>
    <phoneticPr fontId="1" type="noConversion"/>
  </si>
  <si>
    <t>ITU-T Y.4420</t>
    <phoneticPr fontId="1" type="noConversion"/>
  </si>
  <si>
    <t>ITU-T Y.4463</t>
    <phoneticPr fontId="1" type="noConversion"/>
  </si>
  <si>
    <t>ITU-T Y.4560-rev:</t>
    <phoneticPr fontId="1" type="noConversion"/>
  </si>
  <si>
    <t>ITU-T F.751.12</t>
    <phoneticPr fontId="1" type="noConversion"/>
  </si>
  <si>
    <t>ITU-T Y.4560</t>
    <phoneticPr fontId="1" type="noConversion"/>
  </si>
  <si>
    <t xml:space="preserve">ITU-T Y.4560 </t>
    <phoneticPr fontId="1" type="noConversion"/>
  </si>
  <si>
    <t xml:space="preserve">ITU-T Y.Suppl.62
</t>
    <phoneticPr fontId="1" type="noConversion"/>
  </si>
  <si>
    <t xml:space="preserve">ITU-T Q.4102 </t>
    <phoneticPr fontId="1" type="noConversion"/>
  </si>
  <si>
    <t xml:space="preserve">ITU-T F.749.6 </t>
    <phoneticPr fontId="1" type="noConversion"/>
  </si>
  <si>
    <t>ISO/IEC 10192-4-1</t>
    <phoneticPr fontId="1" type="noConversion"/>
  </si>
  <si>
    <t xml:space="preserve">ITU-T G.8331 </t>
    <phoneticPr fontId="1" type="noConversion"/>
  </si>
  <si>
    <t xml:space="preserve">ITU-T G.873.1 Amd.1 </t>
    <phoneticPr fontId="1" type="noConversion"/>
  </si>
  <si>
    <t>ITU-R S.2157</t>
    <phoneticPr fontId="1" type="noConversion"/>
  </si>
  <si>
    <t>ITU-T Y.3533</t>
    <phoneticPr fontId="1" type="noConversion"/>
  </si>
  <si>
    <t>ITU-T Y.MLaaS-arch</t>
    <phoneticPr fontId="1" type="noConversion"/>
  </si>
  <si>
    <t>ITU-T Y.ccm-arch</t>
    <phoneticPr fontId="1" type="noConversion"/>
  </si>
  <si>
    <t>ITU-T Y.ecloud-arch</t>
    <phoneticPr fontId="1" type="noConversion"/>
  </si>
  <si>
    <t xml:space="preserve">ITU-R M.2164 </t>
    <phoneticPr fontId="1" type="noConversion"/>
  </si>
  <si>
    <t>ITU-T Y.3001</t>
    <phoneticPr fontId="1" type="noConversion"/>
  </si>
  <si>
    <t xml:space="preserve">ITU-T Y.2063 </t>
    <phoneticPr fontId="1" type="noConversion"/>
  </si>
  <si>
    <t>ITU-T Y.1902</t>
    <phoneticPr fontId="1" type="noConversion"/>
  </si>
  <si>
    <t>ITU-T Y.1903</t>
    <phoneticPr fontId="1" type="noConversion"/>
  </si>
  <si>
    <t>ITU-T Y.Sup20</t>
    <phoneticPr fontId="1" type="noConversion"/>
  </si>
  <si>
    <t>ITU-T Y Sup.16</t>
    <phoneticPr fontId="1" type="noConversion"/>
  </si>
  <si>
    <t>ITU-T Y.3045</t>
    <phoneticPr fontId="1" type="noConversion"/>
  </si>
  <si>
    <t>ITU-T Y.3300</t>
    <phoneticPr fontId="1" type="noConversion"/>
  </si>
  <si>
    <t>ITU-T Y.3302</t>
    <phoneticPr fontId="1" type="noConversion"/>
  </si>
  <si>
    <t>ITU-T H.741.1 Amd.1</t>
    <phoneticPr fontId="1" type="noConversion"/>
  </si>
  <si>
    <t>ITU-T H.741.2 Amd.1</t>
    <phoneticPr fontId="1" type="noConversion"/>
  </si>
  <si>
    <t>ITU-T H.741.3 Amd.1</t>
    <phoneticPr fontId="1" type="noConversion"/>
  </si>
  <si>
    <t>ITU-T H.741.4 Amd.1</t>
    <phoneticPr fontId="1" type="noConversion"/>
  </si>
  <si>
    <t>ITU-T H.783</t>
    <phoneticPr fontId="1" type="noConversion"/>
  </si>
  <si>
    <t xml:space="preserve">ITU-R F.1764 </t>
    <phoneticPr fontId="1" type="noConversion"/>
  </si>
  <si>
    <t>ITU-R F.1891</t>
    <phoneticPr fontId="1" type="noConversion"/>
  </si>
  <si>
    <t>ITU-T F.746.9</t>
    <phoneticPr fontId="1" type="noConversion"/>
  </si>
  <si>
    <t>SC6 WG10</t>
    <phoneticPr fontId="1" type="noConversion"/>
  </si>
  <si>
    <t>ISO/IEC TR 29181-1</t>
    <phoneticPr fontId="1" type="noConversion"/>
  </si>
  <si>
    <t>Scene-based metadata for IPTV services</t>
    <phoneticPr fontId="1" type="noConversion"/>
  </si>
  <si>
    <t>Interoperability of capability units for manufacturing application solutions - Part 4: Capability unit assessment for the manufacturing application requirements</t>
    <phoneticPr fontId="1" type="noConversion"/>
  </si>
  <si>
    <t>초성능컴퓨팅연구본부</t>
    <phoneticPr fontId="1" type="noConversion"/>
  </si>
  <si>
    <t>Requirement and framework of trustworthy federated machine learning based service</t>
    <phoneticPr fontId="1" type="noConversion"/>
  </si>
  <si>
    <t>ITU-T F.748.35</t>
    <phoneticPr fontId="1" type="noConversion"/>
  </si>
  <si>
    <t>SG16 Q5</t>
  </si>
  <si>
    <t>단말 연합 학습 기반 FML 서비스를 제공, 그 개념, 일반적인 특성 및 요구 사항, 참조 프레임워크에 대한 표준임.</t>
  </si>
  <si>
    <t>홍승태</t>
    <phoneticPr fontId="1" type="noConversion"/>
  </si>
  <si>
    <t>-</t>
  </si>
  <si>
    <t>Cloud computing-Functional requirements for cloud service brokerage</t>
  </si>
  <si>
    <t>ITU-T Y.3506</t>
  </si>
  <si>
    <t>클라우드 서비스 브로커리지의 기능 요구사항을 제공하는 표준으로, 클라우드 서비스 브로커리지는 클라우드 서비스 제공자가 제공하는 클라우드 서비스를 클라우드 서비스 고객에게 중재, 제공 및 관리하는 서비스임.</t>
  </si>
  <si>
    <t>오명훈, 손석호, 정영우, 강동재, 김병섭, 오병택, 최현화, 김선욱, 이강찬, 인민교</t>
  </si>
  <si>
    <t>AI컴퓨팅 시스템</t>
  </si>
  <si>
    <t>1. APPRATUS FOR PROVIDING A CLOUD SERVICE USING CLOUD SERVICE BROKERAGE BASED ON MULTIPLE CLOUDS AND METHOD THEREOF
2. APPRATUS FOR PROVIDING A CLOUD BROKERAGE SERVICE BASED ON MULTIPLE CLOUDS AND METHOD THEREOF
3. METHOD AND APPRATUS FOR PROVIDING A CLOUD SERVICE BASED ON CLOUD SERVICE BROKERAGE</t>
  </si>
  <si>
    <t>1. 미국
2. 미국
3. 미국</t>
  </si>
  <si>
    <t>Cloud computing-Functional architecture for cloud service brokerage</t>
  </si>
  <si>
    <t>ITU-T Y.3536</t>
  </si>
  <si>
    <t>클라우드 서비스 브로커리지의 기능 아키텍쳐를 제공하는 표준으로, 클라우드 서비스 브로커리지는 클라우드 서비스 제공자가 제공하는 클라우드 서비스를 클라우드 서비스 고객에게 중재, 제공 및 관리하는 서비스임</t>
  </si>
  <si>
    <t>오명훈, 손석호, 정영우, 강동재, 김병섭, 오병택, 서지훈, 배승조, 김윤곤, 김수영, 이규철, 이강찬</t>
  </si>
  <si>
    <t>PR20160930US</t>
  </si>
  <si>
    <t>Validation method of cloud service control in a cloud-associated system</t>
  </si>
  <si>
    <t>Cloud computing-Functional requirements of cloud service partner for multi-cloud</t>
  </si>
  <si>
    <t>ITU-T Y.3537</t>
  </si>
  <si>
    <t>2개 이상의 퍼블릭 클라우드가 제공하는 클라우드 서비스를 동시에 사용하는 멀티 클라우드의 기능 요구사항을 제공하는 표준임</t>
  </si>
  <si>
    <t>정영우, 손석호, 오명훈, 강동재, 김병섭, 오병택, 배승조, 김수영, 김윤곤, 이규철, 이강찬</t>
  </si>
  <si>
    <t>정영우</t>
  </si>
  <si>
    <t>1. APPARATUS AND METHOD FOR MULTI-CLOUD SERVICE PLATFORM
2. APPARATUS AND METHOD FOR MANAGING MULTI-CLOUD COMPUTING INFRASTRUCTURE</t>
  </si>
  <si>
    <t>1. 손석호
2. 손석호</t>
  </si>
  <si>
    <t>Information technology-Cloud computing-Concepts for multi-cloud and the use of multiple cloud services</t>
  </si>
  <si>
    <t>ISO/IEC 5140</t>
  </si>
  <si>
    <t>SC38 WG3</t>
  </si>
  <si>
    <t>멀티 클라우드 및 다중 클라우드 서비스 사용에 대한 개념 표준임</t>
  </si>
  <si>
    <t>SC38 WG3 컨비너(이승윤)</t>
  </si>
  <si>
    <t>Cloud computing-Functional architecture for multi-cloud</t>
  </si>
  <si>
    <t>ITU-T Y.mc-arch</t>
  </si>
  <si>
    <t>2개 이상의 퍼블릭 클라우드가 제공하는 클라우드 서비스를 동시에 사용하는 멀티 클라우드의 기능 아키텍쳐를 제공하는 표준임</t>
  </si>
  <si>
    <t>초성능컴퓨팅연구본부</t>
  </si>
  <si>
    <t>Cloud computing-API for multi-cloud</t>
  </si>
  <si>
    <t>ITU-T Y.mc-api</t>
  </si>
  <si>
    <t>2개 이상의 퍼블릭 클라우드가 제공하는 클라우드 서비스를 동시에 사용하는 멀티 클라우드 사용을 위한 API 표준임</t>
  </si>
  <si>
    <t>Information technology-Cloud computing-Multi-cloud management</t>
  </si>
  <si>
    <t>ISO/IEC PWI 10822</t>
  </si>
  <si>
    <t>2개 이상의 퍼블릭 클라우드가 제공하는 클라우드 서비스를 동시에 사용하는 멀티 클라우드에 대한 관리 표준임</t>
  </si>
  <si>
    <t>Requirements for desktop as a service</t>
  </si>
  <si>
    <t>ITU-T Y.3503</t>
  </si>
  <si>
    <t xml:space="preserve"> 클라우드 환경에서 가상데스크탑 서비스를 위한 DaaS(Desktop as a Service)의 논리 컴포넌트 및 기능 요구사항을 제공하는 표준임.</t>
  </si>
  <si>
    <t>1. METHOD AND ARCHITECTURE FOR VIRTUAL DESKTOP SERVICE
2. APPARATUS AND METHOD FOR VIRTUAL DESKTOP SERVICE
3.APPRATUS FOR A VIRTUAL DESKTOP SERVICE AND METHOD THEREOF</t>
  </si>
  <si>
    <t>1.등록 
2.등록
3.등록</t>
  </si>
  <si>
    <t>Functional Architecture for Desktop as a Service</t>
  </si>
  <si>
    <t>ITU-T Y.3504</t>
  </si>
  <si>
    <t>클라우드 환경에서 가상데스크탑 서비스를 위한 요구사항 문서인 Y.3503을 기반으로 기능 아키텍처를 제공하는 표준임.</t>
  </si>
  <si>
    <t>1.METHOD AND SYSTEM FOR PROVIDING SERVER VIRTUAL MACHINE FOR REAL-TIME VIRTUAL DESKTOP SERVICE, AND SERVER DEVICE SUPPORTING THE SAME
2.APPARATUS AND METHOD FOR VIRTUAL DESKTOP SERVICE
3.APPARATUS AND METHOD FOR IN-MEMORY-BASED VIRTUAL DESKTOP SERVICE
4.THE METHOD AND DEVICES FOR VIRTUAL DESKTOP SERVICE</t>
  </si>
  <si>
    <t>1.등록 
2.등록 
3.등록
4.등록</t>
  </si>
  <si>
    <t>Cloud computing - Overview and functional requirements for data storage federation</t>
  </si>
  <si>
    <t>ITU-T Y.3505</t>
  </si>
  <si>
    <t>데이터 스토리지 페더레이션의 이점, 논리적 구성 요소에 대한 구성, 데이터 스토리지 페더레이션의 생태계 및 클라우드 컴퓨팅 기반 데이터 스토리지 페더레이션을 포함하여 데이터 스토리지 페더레이션의 개요 및 기능적 요구 사항을 제공하는 표준임.</t>
  </si>
  <si>
    <t>1.APPARATUS AND METHOD FOR PROVIDING STORAGE FOR PROVIDING CLOUD SERVICES
2.APPARATUS AND METHOD FOR PROCESSING SENSITIVE DATA
3.APPARATUS AND METHOD FOR MANAGING INTEGRATED STORAGE BASED ON MEMORY</t>
  </si>
  <si>
    <t xml:space="preserve">1.등록 
2.등록 
3.등록 </t>
  </si>
  <si>
    <t>Cloud computing - Functional architecture for data storage federation</t>
  </si>
  <si>
    <t>ITU-T Y.3509</t>
  </si>
  <si>
    <t>데이터 스토리지 페더레이션의 기능적 요구 사항인 Y.3505를 기반으로 데이터 스토리지 페더레이션의 기능 아키텍처를 제공하는 표준임.</t>
  </si>
  <si>
    <t>1.APPARATUS AND METHOD FOR MANAGING INTEGRATED STORAGE SUPPORTING HIERACHICAL STRUCTURE BASED ON DATA STABILITY</t>
  </si>
  <si>
    <t xml:space="preserve">1.등록 </t>
  </si>
  <si>
    <t>1. 한국,마국</t>
  </si>
  <si>
    <t>1.김대원</t>
  </si>
  <si>
    <t>Cloud computing - Global management framework of distributed cloud</t>
  </si>
  <si>
    <t>ITU-T Y.3538</t>
  </si>
  <si>
    <t>SG13 Q19</t>
  </si>
  <si>
    <t>분산 클라우드의 글로벌 관리 프레임워크와 기능적 요구 사항을 제공하는 표준으로, 글로벌 관리 프레임워크에는 리소스 관리, 데이터 관리, 플랫폼 서비스 관리, 애플리케이션 서비스 관리, 운영 및 유지 관리, 위험 관리가 포함함.</t>
  </si>
  <si>
    <t>1.PR20200272(KR/US)
2.PR20200672(KR/US)
3.PR20210428(KR/US)
4.PR20220295(KR/US)</t>
  </si>
  <si>
    <t>1.	INTELLIGENT SCHEDULING APPARATUS AND METHOD
2.APPARATUS AND METHOD FOR AUTOSCALING SERVICE SHARED IN CLOUD
3.APPARATUS AND METHOD FOR RESOURCE ALLOCATION IN EDGE COMPUTING ENVIRONMENT
4.DISTRIBUTED CLOUD SYSTEM, DATA PROCESSING METHOD OF DISTRIBUTED CLOUD SYSTEM, AND STORAGE MEDIUM</t>
  </si>
  <si>
    <t>Edge computing - Overview and high-level requirements</t>
  </si>
  <si>
    <t>ITU-T Y.3540</t>
  </si>
  <si>
    <t>엣지 컴퓨팅의 개요와 고수준의 요구 사항을 제공하는 표준으로, 엣지 컴퓨팅과 관련된 용어를 정의하고, 개념, 공통 특성, 엣지 컴퓨팅의 주요 역할에 따른 운영을 포함한 엣지 컴퓨팅의 개요를 설명함. 또한,  엣지 컴퓨팅에 대한 오케스트레이션 측면과 다른 기술과의 관계를 제공하며, 다양한 사용 사례를 통해 고수준의 요구 사항을 제공함.</t>
  </si>
  <si>
    <t>1.METHOD FOR MIGRATING SERVICES AND PROVIDING NON-DISRUPTIVE SERVICES IN DISTRIBUTED CLOUD AND EDGE COMPUTING ENVIRONMENTS
2.	DISTRIBUTED CLOUD SYSTEM, AND DATA PROCESSING METHOD AND STORAGE MEDIUM OF DISTRIBUTED CLOUD SYSTEM
3.MULTI-CLOUD EDGE SYSTEM</t>
  </si>
  <si>
    <t>Cloud computing - Functional requirements of integrated management for virtual machine and container</t>
  </si>
  <si>
    <t>ITU-T Y.ccimvc</t>
  </si>
  <si>
    <t>이 권장 사항은 클라우드 컴퓨팅에서 가상 머신과 컨테이너에 대한 통합 관리의 개념과 통합 모델을 제공합니다. 또한 이 권장 사항은 사용 사례에 따라 가상 머신과 컨테이너의 통합 관리에 대한 기능적 요구 사항을 제공합니다.</t>
  </si>
  <si>
    <t xml:space="preserve">김대원 </t>
  </si>
  <si>
    <t>1.PR20230716(KR/US)</t>
  </si>
  <si>
    <t>1.Method for integration management for virtual machine and container</t>
  </si>
  <si>
    <t>1.출원</t>
  </si>
  <si>
    <t>1.한국,미국</t>
  </si>
  <si>
    <t>Edge computing - Functional requirements of edge computing service (ECS)</t>
  </si>
  <si>
    <t>ITU-T Y.ecs-reqts</t>
  </si>
  <si>
    <t>엣지 컴퓨팅 서비스의 기능 요구 사항을 제공하는 표준으로, 내부 논리적 구성 요소의 도입에 초점을 맞춘 엣지 컴퓨팅 서비스 소개하며, 엣지 컴퓨팅 공급자와 엣지 컴퓨팅 고객 측면에서 엣지 컴퓨팅 서비스 사용과 관련된 다양한 사용 사례를 제공함.</t>
  </si>
  <si>
    <t xml:space="preserve">Cloud computing – Management framework for robotic modules in RaaS </t>
  </si>
  <si>
    <t>ITU-T Y.mraas-frame</t>
  </si>
  <si>
    <t xml:space="preserve"> ITU-T Y.3533에 기반한 RaaS의 로봇 모듈과 RaaS의 로봇 모듈에 대한 관리 프레임워크에 대한 개요를 제공하는 표준으로, 사용 사례에 기반한 로봇 모듈에 대한 클라우드 컴퓨팅 배포 측면을 제공함.</t>
  </si>
  <si>
    <t xml:space="preserve">Information technology - Cloud computing and distributed platforms - Networking in cloud computing and edge computing </t>
  </si>
  <si>
    <t>ISO/IEC AWI 19274</t>
  </si>
  <si>
    <t>에지 컴퓨팅 및 클라우드 컴퓨팅 기반의 다양한 네트워크 환경에 대한 모델 및 기능 요소를 정의하는 표준임.</t>
  </si>
  <si>
    <t xml:space="preserve">Edge computing - Functnional requirments for AI serice in edge computing </t>
  </si>
  <si>
    <t>ITU-T Y.edge-ai</t>
  </si>
  <si>
    <t>에지 컴퓨팅 환경에서 클라우드 기반의 Foundation model을 기반으로 서비스를 제공하기 위한 기능 요구사항을 제공하는 표준임.</t>
  </si>
  <si>
    <t>Security guidelines for Vehicle-to-Everything (V2X) communication</t>
  </si>
  <si>
    <t>ITU-T X.1372</t>
  </si>
  <si>
    <t>Security requirements for external interfaces and devices with vehicle access capability</t>
  </si>
  <si>
    <t>ITU-T X.1374</t>
  </si>
  <si>
    <t xml:space="preserve"> Guidelines for intrusion detection system for in-vehicle networks</t>
  </si>
  <si>
    <t>ITU-T X.1375</t>
  </si>
  <si>
    <t>Guidelines for an intrusion prevention system for connected vehicles</t>
  </si>
  <si>
    <t>ITU-T X.1377</t>
  </si>
  <si>
    <t>Security guidelines for cloud-based event data recorders in automotive environments</t>
  </si>
  <si>
    <t>ITU-T X.1380</t>
  </si>
  <si>
    <t>이미숙</t>
  </si>
  <si>
    <t>에디터(이미숙)</t>
  </si>
  <si>
    <t>Standard on Orchestration of Digital Synchronization between Cyber and Physical World</t>
  </si>
  <si>
    <t>IEEE 2888.3</t>
  </si>
  <si>
    <t xml:space="preserve">물리세계와 사이버세계의 동기화 구조 및 요구사항 </t>
  </si>
  <si>
    <t> PR20230304</t>
  </si>
  <si>
    <t>물리세계와 가상세계의 동기화 구조</t>
  </si>
  <si>
    <t>Reference monitor for online analytics services</t>
  </si>
  <si>
    <t>나재훈</t>
  </si>
  <si>
    <t>에디터(나재훈)</t>
  </si>
  <si>
    <t>Procedural guideline for continual learning to actively respond to network attacks</t>
  </si>
  <si>
    <t>ITU-T X.pg-cla</t>
  </si>
  <si>
    <t>AI와 같은 신기술이 빠르게 발전함에 따라 네트워크 공격에 능동적으로 대응할 수 있는 메커니즘을 제공하는 새로운 ITU-T 권고안이 필요해졌습니다. 이 권고안은 복잡하고 동적인 네트워크 환경에서 능동적인 대응 메커니즘을 위해 서비스 제공업체와 네트워크 운영자가 직면한 과제를 해결하는 것이 목표이다. 애플리케이션 서비스 제공 측면에서 네트워크 관리자는 네트워크 자원을 임의로 점유하거나 악의적인 목적으로 시스템에 해를 끼치는 사용을 탐지하고 제안할 수 있어야 한다. 이러한 기능은 기존의 멀웨어나 바이러스와 달리 공격 대상이 다르다. 공격의 표적은 네트워크 자체가 될 수 있으며 애플리케이션을 실행하고 서비스 가용성을 방해할 수 있다. 이 권고안은 AI 기반 공격 시나리오에서 침입 탐지 및 공격 또는 위협에 대한 대응을 위한 지속적인 학습 방법을 제안한다.</t>
  </si>
  <si>
    <t>Security guidelines for vehicular edge computing</t>
  </si>
  <si>
    <t>ITU-T X.itssec-5</t>
  </si>
  <si>
    <t>에디터(이상우)</t>
  </si>
  <si>
    <t>Secure software update capability for intelligent transportation system communication devices</t>
  </si>
  <si>
    <t>ITU-T X.1373rev</t>
  </si>
  <si>
    <t>Security guidelines for electric vertical take-off and landing (eVTOL) vehicle in an urban air mobility environment</t>
  </si>
  <si>
    <t>ITU-T X.evtol-sec</t>
  </si>
  <si>
    <t>Implementation and evaluation of security functions to support over-the-air (OTA) update capability in connected vehicles</t>
  </si>
  <si>
    <t>ITU-T X.ota-sec</t>
  </si>
  <si>
    <t>Framework of delegation service for Internet of things</t>
  </si>
  <si>
    <t>클라우드 환경 사물인터넷 위임 서비스 프레임워크에서 분산 데이터베이스를 이용하여 가상 객체 또는 리소스가 시계열 데이터를 포함하는 기능을 제공한다.</t>
  </si>
  <si>
    <t>김영호</t>
  </si>
  <si>
    <t>1. 블록체인을 활용하여 이벤트 형태의 IoT 센서 정보를 자가 검증 가능한 스트림 데이터로 생성 및 유통하는 방법</t>
  </si>
  <si>
    <t>1. 미국</t>
  </si>
  <si>
    <t>1. 김영호</t>
  </si>
  <si>
    <t>Security threats and requirements for video management systems</t>
  </si>
  <si>
    <t>ITU-T X.1453</t>
  </si>
  <si>
    <t>영상관리시스템에 대한 보안취약점 및 요구사항 정의</t>
  </si>
  <si>
    <t>한종욱, 임경수, 김건우</t>
  </si>
  <si>
    <t>ISO UAS license and drone/UAS security module - Part 2: Drone/UAS security module</t>
  </si>
  <si>
    <t>ISO/IEC 22460-2</t>
  </si>
  <si>
    <t>SC17</t>
  </si>
  <si>
    <t>이 표준은 드론/무인 항공기 시스템(UAS) 보안 모듈의 암호화 기능을 정의한다. 드론/UAS 보안 모듈은 드론/UAS 조종사 면허, 드론/UAS 운영자 면허 및 기타 개인 식별 정보를 저장하는 컨테이너 역할을 하는 보안 장치이다. 이 표준은 드론/UAS 보안 모듈에서 제공하는 무결성 검증, 인증 및 데이터 암호화를 포함한 표준화된 보안 기능을 정의한다.</t>
  </si>
  <si>
    <t>강유성,김건우</t>
  </si>
  <si>
    <t>에디터(강유성)</t>
  </si>
  <si>
    <t>Requirements and Guidelines for Dynamic Malware Analysis in a Sandbox Environment</t>
  </si>
  <si>
    <t>ITU-T X.1218</t>
  </si>
  <si>
    <t>김종현</t>
  </si>
  <si>
    <t>SG17 Q4 라포처(김종현)
SG17 WP1 부의장(김종현)</t>
  </si>
  <si>
    <t>Security framework for storage protection against malware attacks on hosts</t>
  </si>
  <si>
    <t>ITU-T X.1220</t>
  </si>
  <si>
    <t>호스트 내 악성코드 공격으로부터 스토리지 보호를 위한 보안 프레임워크를 정의함</t>
  </si>
  <si>
    <t>Security requirements and countermeasures for targeted email attacks</t>
  </si>
  <si>
    <t>ITU-T X.1236</t>
  </si>
  <si>
    <t>표적형 이메일 공격에 대한 보안 요구사항 및 대응 가이드라인을 제시함</t>
  </si>
  <si>
    <t>Security framework for network storage protection against malware attacks</t>
  </si>
  <si>
    <t>악성코드 공격으로부터 네트워크 스토리지를 보호하기 위한 보안 프레임워크을 정의함</t>
  </si>
  <si>
    <t>에디터(김종현)</t>
  </si>
  <si>
    <t>Security framework for detecting targeted email attacks</t>
  </si>
  <si>
    <t>표적형 이메일 공격을 탐지하기 위한 보안 프레임워크 및 대응절차를 제시함</t>
  </si>
  <si>
    <t>Fully Homomorphic Encryption (FHE) - based data aggregation in machine learning</t>
  </si>
  <si>
    <t>ITU-T TR.sgfdm</t>
  </si>
  <si>
    <t>이 기술 보고서는 입력 데이터를 보호하면서 머신러닝(ML)에서 안전한 데이터 집계를 위한 가이드라인을 제공합니다. 머신 러닝의 데이터 집계에서 완전 동형 암호화(FHE)가 어떻게 작동하는지를 중점적으로 설명합니다. 먼저 ML에서 안전한 집계에 대한 일반적인 워크플로우를 설명하고 ML에서 FHE 기반 데이터 집계가 특정 요구 사항을 충족할 수 있는 방법을 설명합니다. 그런 다음 두 개 이상의 당사자 간의 데이터 집계를 지원하는 FHE 기반 ML에 대한 일반적인 워크플로우를 제공합니다.</t>
  </si>
  <si>
    <t>eXtensible Access Control Markup Language (XACML) 3.1</t>
  </si>
  <si>
    <t>언어 구문, 모델, 정책 언어 모델과의 컨텍스트, 구문 및 처리 규칙을 포함한 핵심 XACML을 정의. 이 권고안은 기술적으로 OASIS XACML 3.1 표준과 동등하며 호환됨.</t>
  </si>
  <si>
    <t>Security measures for countering password related online attacks</t>
  </si>
  <si>
    <t>본 권고안은 서비스 시스템에서 비밀번호 관련 온라인 공격의 보안 위험성을 분석하고 보안 위협과 문제를 완화할 수 있는 보안 대책을 제공하는 것으로, 서비스 생명 주기의 각 단계에서 비밀번호 관련 보안 위험을 완화하는 데 도움이 되는 보안 위험 분석 및 보안 고려 사항을 제공하여 비즈니스 애플리케이션과 보안 요구 사항을 함께 발전시켜 서비스 시스템의 생명 주기 동안 균형 잡힌 접근 방식을 보장합니다.</t>
  </si>
  <si>
    <t>Security measures for location enabled smart office services</t>
  </si>
  <si>
    <t>스마트 오피스 서비스 중 사업자가 제공하는 위치 데이터는 대부분의 스마트 오피스 서비스 구현에서 핵심 요소 중 하나입니다. 위치 기반 스마트 오피스 서비스의 보안을 보장하기 위해서는 위치 기반 서비스에 특화된 보안 위협과 관련 보안 요구사항을 분석하고 전반적인 보안 대책을 수립해야 합니다. 이 권고안은 위치 기반 스마트 오피스 서비스의 일반적인 적용 시나리오를 분석하고, 보안 위협과 요구사항을 명시하며, 스마트 오피스 운영자와 주요 이해관계자가 위치 기반 서비스를 보호하기 위한 보안 조치를 수립하도록 한다.</t>
  </si>
  <si>
    <t>Security Measure for Smart Residential Community</t>
  </si>
  <si>
    <t xml:space="preserve"> 스마트 주거 커뮤니티 서비스는 여러 커뮤니티 관리 서비스(예: 공공시설 관리, 안전 관제, 환경 관리 등)와 스마트 애플리케이션(예: 스마트 하우스 서비스, 스마트 빌딩, 스마트 주차, e-헬스, 스마트 소매점 등)을 결합하여 거주자에게 안전하고 쾌적하며 편리한 생활 조건을 제공한다. 본 권고안은 스마트 주거 커뮤니티 서비스의 특정 위협을 분석하고 보안 요구 사항을 식별하며 이해 관계자가 스마트 주거 커뮤니티 서비스를 보호하고 개선하기 위한 보안 조치</t>
  </si>
  <si>
    <t>Security measures for digital twin federation in smart cities and communities</t>
  </si>
  <si>
    <t>디지털 트윈 연합은 시스템 서비스 거부, 데이터 변조, 디도스 공격, 불법 데이터 공유, 권한 업그레이드 등 디지털 트윈 연합을 통해 다른 디지털 트윈 시스템에 불법적인 명령이나 악성 코드를 전송하는 등의 보안 위협에 직면할 수 있으며, 이는 디지털 트윈 연합의 보안과 운영에 심각한 영향을 미친다. 본 권고안은 디지털 트윈 연합의 구체적인 보안 위협을 식별하고 디지털 트윈 연합에 특화된 보안 요구사항을 분석하여 디지털 트윈 연합의 보안 대책을 위한 지침</t>
  </si>
  <si>
    <t>Security measure for digital twin system of smart cities</t>
  </si>
  <si>
    <t>본 권고안은 스마트시티 디지털 트윈 시스템의 구체적인 보안 위협을 식별하고, 스마트시티 디지털 트윈 시스템에 특화된 보안 요구사항을 분석하여 스마트시티 주요 이해관계자들이 스마트시티 디지털 트윈 시스템을 기반으로 하는 서비스를 보호하고 개선하기 위한 스마트시티 디지털 트윈 시스템의 보안 대책을 수립하기 위한 초안을 제시함</t>
  </si>
  <si>
    <t>Security requirements and guidelines of application and service for smart city platform</t>
  </si>
  <si>
    <t>본 권고안에서는 스마트시티 플랫폼용 애플리케이션 및 서비스의 보안 위협 및 요구사항과, 스마트시티 플랫폼용 애플리케이션 및 서비스의 보안 보호를 위한 방안을 제시</t>
  </si>
  <si>
    <t>Security requirements and guidelines of sensing and data collection system for city infrastructure</t>
  </si>
  <si>
    <t>본 권고안에서는 도시 기반시설용 센싱 및 데이터 수집 시스템의 보안 위협과 요구사항을 설명하고, 도시 기반시설용 센싱 및 데이터 수집 시스템의 보안 보호를 위한 방법을 제시</t>
  </si>
  <si>
    <t>Security requirements for monitoring physical city assets</t>
  </si>
  <si>
    <t>본 권고안은 물리적 도시 자산 모니터링의 구체적인 보안 위협을 식별하고 물리적 도시 자산 모니터링에 특화된 보안 요구 사항을 분석하여 스마트 시티 주요 이해 관계자가 물리적 도시 자산 모니터링을 기반으로 한 서비스를 보호하고 개선하기 위한 물리적 도시 자산 모니터링에 대한 참조를 제공</t>
  </si>
  <si>
    <t>Technical capabilities of interactive fraud detection</t>
  </si>
  <si>
    <t>이 권고안은 기능 식별, 식별된 기능을 지원하는 아키텍처 프레임워크, 다양한 아키텍처 구성 요소 간의 상호 작용을 지원하는 절차 등 대화형 사기 탐지의 기술적 기능을 제시</t>
  </si>
  <si>
    <t>임성창, 김종호, 이진호, 임웅, 김동현, 최진수</t>
  </si>
  <si>
    <t>ISO/IEC XXXX-X: 미정</t>
  </si>
  <si>
    <t>SC29 WG5</t>
  </si>
  <si>
    <t xml:space="preserve">이머시브 오디오 렌더링의 현실감을 향상시키는 방법으로서, 현재 지원되지 않는 고속 음원의 지연 위치 표현 기술을 Ballot Comment와 함께 제안 </t>
    <phoneticPr fontId="1" type="noConversion"/>
  </si>
  <si>
    <t>SC29 WG4</t>
  </si>
  <si>
    <t>SC29 WG7</t>
  </si>
  <si>
    <t>G-PCC</t>
  </si>
  <si>
    <t>ISO/IEC 23090-9</t>
  </si>
  <si>
    <t>본 표준은 포인트클라우드 비디오 데이터를 효율적으로 압축하기 위해 3차원 기하 압축 기술을 이용하여 화면 내, 화면 간 압축 기술을 제공하는 국제 표준이며, 현재 Ed.2가 WD 단계에 와있음</t>
  </si>
  <si>
    <t>김준식, 방건</t>
  </si>
  <si>
    <t>MPEG-AI part 3: Video coding for Machine</t>
  </si>
  <si>
    <t>원격 협업 환경에서 기계 임무를 효율적으로 처리하기 위한 압축표준임. 기계 임무의 성능 손실을 최소화하고, 비트율 효율성을 최대화하는 영상 압축 표준</t>
  </si>
  <si>
    <t>정세윤, 이주영, 김연희</t>
  </si>
  <si>
    <t>MPEG-AI part 4: Feature coding for Machine</t>
  </si>
  <si>
    <t>원격 협업 환경에서 기계 임무를 효율적으로 처리하기 위한 압축표준임. 즉, 기계 임무 네트워크를 엣지 단과 클라우드 서버 단에 분리 배치하여 협업 처리 하기 위한 분리 부분에서 추출된 특징(Feature)을 효율적으로 전송하기 위한 압축 표준 개발</t>
  </si>
  <si>
    <t>에어모빌리티연구본부</t>
  </si>
  <si>
    <t>Information technology - MPEG-I (Coded Representation of Immersive Media) - Part 9: Geometry-based Point Cloud Compression</t>
  </si>
  <si>
    <t xml:space="preserve">ISO/IEC 23090-9 </t>
  </si>
  <si>
    <t>개발 표준특허 기술은 효율적 속성 정보 압축에 대한 방법 및 장치와 하나의 포인트 클라우드를 여러 개의 타일로 분할하여 압축하는 방법 및 장치에 대한 2개의 표준특허에 반영되어 있음</t>
  </si>
  <si>
    <t>장은영</t>
  </si>
  <si>
    <t>1. 3D POINT CLOUD DATA ENCODING/DECODING METHOD AND APPARATUS
2. 3D 포인트 클라우드 데이터의 부호화/복호화 방법 및 장치
3. 스케일러블 포인트 클라우드 부호화/복호화 방법 및 장치</t>
  </si>
  <si>
    <t>1. 미국
2. 국내
3. 국내</t>
  </si>
  <si>
    <t>1. 장은영
2. 장은영
3. 장은영</t>
  </si>
  <si>
    <t>IEEE Standard for Multi-Gigabit per Second Optical Wireless Communications (OWC), with Ranges up to 200 m, for Both Stationary and Mobile Devices</t>
  </si>
  <si>
    <t>802 WG15 TG13</t>
  </si>
  <si>
    <t xml:space="preserve">개발된 표준문서는 현존하는 RF 시스템에 간섭 영향을 주지 않으면서 산업적 응용 요구사항을 만족시킬 수 있는 190nm~1,000nm 파장 대역의 광무선통신 규격을 정의한다. 
본 표준에서는 최대 2.192Gb/s 고속 전송 속도를 지원하기 위해 DC-biased OFDM 기술을 적용하는 HB(High Bandwidth) PHY 규격과 저전력/저복잡도 특성을 지원하기 위해 2-PAM(pulse-amplitude modulation) 변조 기술을 적용하는 PM(Pulsed Modulation) PHY 규격 및 scheduled medium access와 polled medium access를 지원하는 MAC sublayer 규격을 명시한다. </t>
  </si>
  <si>
    <t>임상규</t>
  </si>
  <si>
    <t>Automation systems and integration — Equipment behaviour catalogues for virtual production system — Part 3: Requirements and recommendations for construction an equipment instance model</t>
  </si>
  <si>
    <t>ISO 16400-3</t>
  </si>
  <si>
    <t>TC184 SC5 WG13</t>
  </si>
  <si>
    <t>본 표준은 가상 생산 시스템을 구성할 때 장비의 모니터링 뿐만 아니라 향후 장비의 시뮬레이션 및 검증에 사용하기 위한 목적으로 EBC(Equipment Behaviour Catalogue, 장비 행동 카탈로그)의 개념과 EBC의 요구 사항에 따라 EBC 항목을 사용하여 장비 인스턴스 모델을 구성하는 방법에 대한 지침을 정의하는 문서이다.</t>
  </si>
  <si>
    <t>전영애, 박호진</t>
  </si>
  <si>
    <t>프로젝트리더(전영애), 프로젝트리더(박호진)</t>
  </si>
  <si>
    <t>ISO 16400-6</t>
  </si>
  <si>
    <t>본 표준은 가상 생산 시스템을 구축할 때 머신 러닝 모델을 시뮬레이션의 일부로 내장하기 위한 장비 동작 카탈로그의 확장 구조와 이를 구축하는 규칙을 제안하는 문서이다.</t>
  </si>
  <si>
    <t>전영애, 박호진, 이학진</t>
  </si>
  <si>
    <t>프로젝트리더(전영애), 프로젝트리더(박호진), 프로젝트리더(이학진)</t>
  </si>
  <si>
    <t>IEEE Standard for Information Technology — Telecommunications and Information Exchange between Systems Local and Metropolitan Area Networks — Specific Requirements
Part 11: Wireless LAN Medium Access Control (MAC) and Physical Layer (PHY) Specifications
Amendment 6: Light Communications</t>
  </si>
  <si>
    <t>802 WG11 TGbb</t>
  </si>
  <si>
    <t xml:space="preserve">개발 중인 표준문서는 800nm~1,000nm 파장 대역의 광무선통신이 IEEE 802.11 표준 범위에서 동작할 수 있도록, IEEE 802.11 표준의 구성 블록으로서 LC(Light Communication) STA의 기능과 지원 범위를 구체적으로 정의하고, LC 동작을 위한 IEEE 802.11 PHY 계층과 MAC 계층의 수정 추가사항으로써 LC PHY와 LC MAC 규격을 명시한다. </t>
  </si>
  <si>
    <t>TGbb Task Group Secretary (임상규)</t>
  </si>
  <si>
    <t>Draft Standard for Local and Metropolitan Area Networks — Part 15.7: Short-Range Optical Wireless Communications 
Amendment 1: Higher Rate, Longer Range Optical Camera Communication (OCC)</t>
  </si>
  <si>
    <t>802 WG15 TG7a</t>
  </si>
  <si>
    <t>에디터(박호진)</t>
    <phoneticPr fontId="1" type="noConversion"/>
  </si>
  <si>
    <t>IEEE Standard for Local and metropolitan area networks —
Part 15.7: Short-Range Wireless Optical Communication Using Visible Light</t>
  </si>
  <si>
    <t>802 WG15 TG7</t>
  </si>
  <si>
    <t xml:space="preserve">개발된 표준문서는 현존하는 RF 시스템에 간섭 영향을 주지 않으면서 차세대 광원으로 부각되고 있는 LED 광원, 조명 기기 및 인프라를 이용하여 오디오 및 비디오 멀티미디어 서비스를 제공하기 위한 380nm~780nm 파장 대역의 근거리 가시광 무선통신 규격을 정의한다. 
본 표준에서는 OOK(On-Off Keying)와 VPPM(Variable Pulse Position Modulation) 변조 기술 및 Manchester code와 4B6B 코드 기술을 적용하여 최대 100kb/s 전송 속도를 지원하는 PHY I 동작 모드, OOK(On-Off Keying)와 VPPM(Variable Pulse Position Modulation) 변조 기술 및 4B6B와 8B10B 코드 기술을 적용하여 최대 96Mb/s 전송 속도를 지원하는 PHY II 동작 모드, CSK(Color Shift Keying) 변조 기술을 적용하여 최대 96Mb/s 전송 속도를 지원하는 PHY III 동작 모드 및 peer-to-peer, star, broadcast 네트워크 토폴로지를 지원하는 MAC 계층 규격을 명시한다. 또한 본 표준은 조명통신 융합 기술로써, 가시광 무선통신 기능에 기인하는 플리커 현상을 완화하기 위한 플리커 완화 기능을 명시한다. </t>
  </si>
  <si>
    <t>임상규, 김대호, 장일순, 강태규</t>
  </si>
  <si>
    <t>1. VISIBLE LIGHT COMMUNICATION APPARATUS CAPABLE OF MINUTE DIMMING CONTROL AND METHOD USING THE SAME
2. TRANSMITTER, RECEIVER FOR VISIBLE LIGHT COMMUNICATION AND METHOD USING THE SAME
3. APPARATUS FOR VISIBLE LIGHT COMMUNICATION INDICATING COMMUNICATING QUALITY USING RGB COLOR MIXING AND METHOD THEREOF
4. APPARATUS FOR VISIBLE LIGHT COMMUNICATION PROVIDING INTUITIVE INFORMATION AND METHOD USING THE SAME
5. VISIBLE LIGHT COMMUNICATION APPARATUS AND VISIBLE LIGHT COMMUNICATION METHOD</t>
  </si>
  <si>
    <t>3GPP</t>
    <phoneticPr fontId="1" type="noConversion"/>
  </si>
  <si>
    <t>개발 표준문서는 AI/ML 지원을 향상시켜 무선 인터페이스를 강화함으로써 얻을 수 있는 이점을 살펴보고, 성능, 복잡성 및 잠재적인 규격 영향과 같은 측면에서 목표하는 적용 사례에 해당하는 무선 인터페이스를 위해 AI/ML을 위한 3GPP 프레임워크에 대해 연구한다. 개발 표준특허 기술은 특히 목표하는 적용 사례중 빔 관리와 관련하여 3GPP 프레임워크에서 AI/ML을 지원하는 방법을 제시하고 있다.</t>
    <phoneticPr fontId="1" type="noConversion"/>
  </si>
  <si>
    <t>O-RAN A1 Spec.</t>
    <phoneticPr fontId="1" type="noConversion"/>
  </si>
  <si>
    <t>O-RAN.WG2.A1GAP</t>
    <phoneticPr fontId="1" type="noConversion"/>
  </si>
  <si>
    <t>WG2</t>
    <phoneticPr fontId="1" type="noConversion"/>
  </si>
  <si>
    <t>오픈랜 표준 규격의 A1/R1 인터페이스 규격 개발</t>
    <phoneticPr fontId="1" type="noConversion"/>
  </si>
  <si>
    <t>이경석</t>
    <phoneticPr fontId="1" type="noConversion"/>
  </si>
  <si>
    <t>O-RAN E2 Spec.</t>
    <phoneticPr fontId="1" type="noConversion"/>
  </si>
  <si>
    <t>오픈랜 표준 규격의 E2 인터페이스 규격 개발</t>
    <phoneticPr fontId="1" type="noConversion"/>
  </si>
  <si>
    <t>홍승은</t>
    <phoneticPr fontId="1" type="noConversion"/>
  </si>
  <si>
    <t>TS 38.214: NR; Physical layer procedures for data (Release 18)</t>
    <phoneticPr fontId="1" type="noConversion"/>
  </si>
  <si>
    <t>TS 38.214 V18.1.0</t>
    <phoneticPr fontId="1" type="noConversion"/>
  </si>
  <si>
    <t>비면허대역 사이드링크 통신에서 효율적인 자원활용을 위해 intra-cell guardband PRB를 포함하는 서브채널의 잔여 PRB를 활용하는 방법을 제안하여 규격(TS 38.214 V18.1.0)에 반영됨.</t>
    <phoneticPr fontId="1" type="noConversion"/>
  </si>
  <si>
    <t>김준형</t>
    <phoneticPr fontId="1" type="noConversion"/>
  </si>
  <si>
    <t>PR20220641(US/KR)</t>
    <phoneticPr fontId="1" type="noConversion"/>
  </si>
  <si>
    <t>METHOD AND APPARATUS FOR SIDELINK COMMUNICATION IN UNLICENSED BAND</t>
    <phoneticPr fontId="1" type="noConversion"/>
  </si>
  <si>
    <t>1. 미국
2. 국내</t>
    <phoneticPr fontId="1" type="noConversion"/>
  </si>
  <si>
    <t>TS 38.214: NR; Physical layer procedures for data (Release 19)</t>
    <phoneticPr fontId="1" type="noConversion"/>
  </si>
  <si>
    <t>Subband Full-Duplex에서 교차링크 관리를 위한 간섭 측정 및 보고 방법을 특허로 출원하였고, 지속적으로 기고서를 통해 제안중이다.</t>
    <phoneticPr fontId="1" type="noConversion"/>
  </si>
  <si>
    <t>PR20240179</t>
    <phoneticPr fontId="1" type="noConversion"/>
  </si>
  <si>
    <t>무선 통신 시스템에서 교차링크 간섭 측정 및 보고 방법</t>
    <phoneticPr fontId="1" type="noConversion"/>
  </si>
  <si>
    <t>1.PR20190013(KR/US)
2.PR20200420(KR/US)
3.PR20210410(KR/US)</t>
    <phoneticPr fontId="1" type="noConversion"/>
  </si>
  <si>
    <t>1.한국/미국
2.한국/미국
3.한국/미국</t>
    <phoneticPr fontId="1" type="noConversion"/>
  </si>
  <si>
    <t>1.김창기
2.김창기
3.강유화</t>
    <phoneticPr fontId="1" type="noConversion"/>
  </si>
  <si>
    <t>김창기, 강유화,하정락</t>
    <phoneticPr fontId="1" type="noConversion"/>
  </si>
  <si>
    <t>1.동록
2.출원
3.출원
4.출원</t>
    <phoneticPr fontId="1" type="noConversion"/>
  </si>
  <si>
    <t>1.한국/미국
2.한국/미국
3.한국/미국
4.한국/미국</t>
    <phoneticPr fontId="1" type="noConversion"/>
  </si>
  <si>
    <t>1.출원
2.출원
3.출원</t>
    <phoneticPr fontId="1" type="noConversion"/>
  </si>
  <si>
    <t>1. 한국/미국
2. 한국/미국
3. 한국/미국</t>
    <phoneticPr fontId="1" type="noConversion"/>
  </si>
  <si>
    <t>1. 한국/미국
2. 한국/미국</t>
    <phoneticPr fontId="1" type="noConversion"/>
  </si>
  <si>
    <t>1. 한국/미국</t>
    <phoneticPr fontId="1" type="noConversion"/>
  </si>
  <si>
    <t>- Study on Multi-Access (DualSteer and ATSSS_Ph4) 
- System architecture for the 5G System (5GS)
-Procedures for the 5G System (5GS</t>
    <phoneticPr fontId="1" type="noConversion"/>
  </si>
  <si>
    <t>TR 23.700-54 (Release 19)
TS 23.501 (Release 19)
TS 23.502 (Release 19)</t>
    <phoneticPr fontId="1" type="noConversion"/>
  </si>
  <si>
    <t>5G시스템에서 두개의 3GPP access를 이용하는 DualSteer를 위한 제어 기술에 대한 연구 결과 수록</t>
    <phoneticPr fontId="1" type="noConversion"/>
  </si>
  <si>
    <t>하정락</t>
    <phoneticPr fontId="1" type="noConversion"/>
  </si>
  <si>
    <t>- Study on UPF enhancement for Exposure and SBA(UPEAS_Ph2)
- System architecture for the 5G System (5GS)
-Procedures for the 5G System (5GS</t>
    <phoneticPr fontId="1" type="noConversion"/>
  </si>
  <si>
    <t>TR 23.700-63 (Release 19)
TS 23.501 (Release 19)
TS 23.502 (Release 19)</t>
    <phoneticPr fontId="1" type="noConversion"/>
  </si>
  <si>
    <t>5G시스템에서 UPF 이벤트 익스포저 기능 확장에 대한 연구</t>
    <phoneticPr fontId="1" type="noConversion"/>
  </si>
  <si>
    <t>김창기</t>
    <phoneticPr fontId="1" type="noConversion"/>
  </si>
  <si>
    <t>5G시스템에서 QoS policy assistance information 제공을 위한 기능 확장에 대한 연구</t>
    <phoneticPr fontId="1" type="noConversion"/>
  </si>
  <si>
    <t>이창식</t>
    <phoneticPr fontId="1" type="noConversion"/>
  </si>
  <si>
    <t>Applicability of YANG models for Abstraction and Control of Traffic Engineered Networks</t>
    <phoneticPr fontId="1" type="noConversion"/>
  </si>
  <si>
    <t>draft-ietf-teas-actn-yang</t>
    <phoneticPr fontId="1" type="noConversion"/>
  </si>
  <si>
    <t>가상 네트워크 서비스를 제공하기 위해서 요구되는  YANG 데이터 모델들을 정의</t>
    <phoneticPr fontId="1" type="noConversion"/>
  </si>
  <si>
    <t>윤빈영</t>
    <phoneticPr fontId="1" type="noConversion"/>
  </si>
  <si>
    <t>A YANG Data Model for Virtual Network (VN) Operations</t>
    <phoneticPr fontId="1" type="noConversion"/>
  </si>
  <si>
    <t xml:space="preserve">Information Model for Abstraction and Control of TE Networks </t>
    <phoneticPr fontId="1" type="noConversion"/>
  </si>
  <si>
    <t>RFC8454</t>
    <phoneticPr fontId="1" type="noConversion"/>
  </si>
  <si>
    <t>QoS 네트워크 서비스를 제공하는 트래픽 엔지니어링 네트워크의 추상화 및 가상화를 위한 정보 모델 정의</t>
    <phoneticPr fontId="1" type="noConversion"/>
  </si>
  <si>
    <t>Common Equipment Management Function Requirements</t>
    <phoneticPr fontId="1" type="noConversion"/>
  </si>
  <si>
    <t>SG15 Q14</t>
    <phoneticPr fontId="1" type="noConversion"/>
  </si>
  <si>
    <t>모든 전송 장비에 공통으로 적용되는 관리 기능 요구 사항(FCAPS)을 정의함. 기존 권고안에 텔레메트리 및 장애 원인 분석 등의 관리 기능들 추가되었음</t>
    <phoneticPr fontId="1" type="noConversion"/>
  </si>
  <si>
    <t>모든 전송 장비에 공통으로 적용되는 관리 기능 요구 사항(FCAPS)을 정의함. 기존 권고안에 운영(administration)기능에 관한 사항들이 추가되었음</t>
    <phoneticPr fontId="1" type="noConversion"/>
  </si>
  <si>
    <t>Fixed, mobile and satellite convergence - Requirement of network sharing for IMT-2020 networks and beyond</t>
    <phoneticPr fontId="1" type="noConversion"/>
  </si>
  <si>
    <t>ITU-T Y.3215</t>
    <phoneticPr fontId="1" type="noConversion"/>
  </si>
  <si>
    <t>SG13 Q23</t>
    <phoneticPr fontId="1" type="noConversion"/>
  </si>
  <si>
    <t>유무선위성 융합망에서 다수 기관이 위성을 공유하는 시스템 모델과 기능 모델을 정의하고, 기능 모델을 지원하기 위한 요구사항을 정의함</t>
    <phoneticPr fontId="1" type="noConversion"/>
  </si>
  <si>
    <t>김정윤</t>
    <phoneticPr fontId="1" type="noConversion"/>
  </si>
  <si>
    <t xml:space="preserve">Quantum key distribution networks – Control and management” </t>
    <phoneticPr fontId="1" type="noConversion"/>
  </si>
  <si>
    <t>ITU-T Y.3804Rev</t>
    <phoneticPr fontId="1" type="noConversion"/>
  </si>
  <si>
    <t>SG13 Q16</t>
    <phoneticPr fontId="1" type="noConversion"/>
  </si>
  <si>
    <t>양자키분배망(QKDN)에서 성능. 형상, 보안 등의 망관리 절차를 정의함.</t>
    <phoneticPr fontId="1" type="noConversion"/>
  </si>
  <si>
    <t>9) 양자</t>
  </si>
  <si>
    <t>양자통신</t>
    <phoneticPr fontId="1" type="noConversion"/>
  </si>
  <si>
    <t>Quantum Key Distribution integration with Transport Layer Security 1.3</t>
    <phoneticPr fontId="1" type="noConversion"/>
  </si>
  <si>
    <t>ITU-T Y.QKD-TLS</t>
    <phoneticPr fontId="1" type="noConversion"/>
  </si>
  <si>
    <t>양자키분배망(QKDN)과 전송계층보완(TLS)의 통합방식을 에서 성능. 형상, 보안 등의 망관리 절차를 정의함.</t>
    <phoneticPr fontId="1" type="noConversion"/>
  </si>
  <si>
    <t>김정윤, 최태상</t>
    <phoneticPr fontId="1" type="noConversion"/>
  </si>
  <si>
    <t>Generic common Quantum Key Distribution Network Template</t>
    <phoneticPr fontId="1" type="noConversion"/>
  </si>
  <si>
    <t>ITU-T Y.QKDN-GQT</t>
    <phoneticPr fontId="1" type="noConversion"/>
  </si>
  <si>
    <t>QKDN as a service 도입을 위해 QKDN의 특성을 나타내는 요소들을 정의함</t>
    <phoneticPr fontId="1" type="noConversion"/>
  </si>
  <si>
    <t>Quantum key distribution networks interworking – Functional architecture for quality of service assurance</t>
    <phoneticPr fontId="1" type="noConversion"/>
  </si>
  <si>
    <t>ITU-T Y.QKDNi-qos-fa</t>
    <phoneticPr fontId="1" type="noConversion"/>
  </si>
  <si>
    <t>SG13 Q6</t>
    <phoneticPr fontId="1" type="noConversion"/>
  </si>
  <si>
    <t>QKDN 사업자간 연동을 지원하기 위한 서비스품질 보장 구조를 정의함</t>
    <phoneticPr fontId="1" type="noConversion"/>
  </si>
  <si>
    <t>General control protocols for interfaces on quantum key distribution network controller for quantum key distribution networks</t>
    <phoneticPr fontId="1" type="noConversion"/>
  </si>
  <si>
    <t>ITU-T Q.QKDN_GC</t>
    <phoneticPr fontId="1" type="noConversion"/>
  </si>
  <si>
    <t>SG11 Q2</t>
    <phoneticPr fontId="1" type="noConversion"/>
  </si>
  <si>
    <t>QKDN 제어기 인터페이스의 일반적인 프로토콜을 정의함</t>
    <phoneticPr fontId="1" type="noConversion"/>
  </si>
  <si>
    <t>SG11 부의장(고남석)</t>
    <phoneticPr fontId="1" type="noConversion"/>
  </si>
  <si>
    <t>Protocols for interfaces on quantum key distribution network manager for quantum key distribution networks</t>
    <phoneticPr fontId="1" type="noConversion"/>
  </si>
  <si>
    <t>ITU-T Q.QKDN_Mk</t>
    <phoneticPr fontId="1" type="noConversion"/>
  </si>
  <si>
    <t>QKDN 관리기 인터페이스의 프로토콜을 정의함</t>
    <phoneticPr fontId="1" type="noConversion"/>
  </si>
  <si>
    <t>Protocols for interfaces between key managers for quantum key distribution network interworking</t>
    <phoneticPr fontId="1" type="noConversion"/>
  </si>
  <si>
    <t>ITU-T Q.QKDNi_KM</t>
    <phoneticPr fontId="1" type="noConversion"/>
  </si>
  <si>
    <t>QKDN 키 관리기 인터페이스의 프로토콜을 정의함</t>
    <phoneticPr fontId="1" type="noConversion"/>
  </si>
  <si>
    <t>Quantum key distribution networks Interworking - Protocol framework</t>
    <phoneticPr fontId="1" type="noConversion"/>
  </si>
  <si>
    <t>ITU-T Q.QKDNi_profr</t>
    <phoneticPr fontId="1" type="noConversion"/>
  </si>
  <si>
    <t>QKDN 연동의 프로토콜 프레임워를 정의함</t>
    <phoneticPr fontId="1" type="noConversion"/>
  </si>
  <si>
    <t xml:space="preserve">Signalling requirements and protocols for broker of multi-access edge computing </t>
    <phoneticPr fontId="1" type="noConversion"/>
  </si>
  <si>
    <t>ITU-T Q.MEC-FED</t>
    <phoneticPr fontId="1" type="noConversion"/>
  </si>
  <si>
    <t>MEC 페더레이션 인터페이스의 프로토콜을 정의함</t>
    <phoneticPr fontId="1" type="noConversion"/>
  </si>
  <si>
    <t>CG그룹 의장(김강희)</t>
    <phoneticPr fontId="1" type="noConversion"/>
  </si>
  <si>
    <t>ITU-R M.2541</t>
  </si>
  <si>
    <t>WRC-27 agenda item 1,11</t>
    <phoneticPr fontId="1" type="noConversion"/>
  </si>
  <si>
    <t>이동위성업무용 L/S대역의 위성간 링크 사용 연구</t>
    <phoneticPr fontId="1" type="noConversion"/>
  </si>
  <si>
    <t>WRC-27 agenda item 1,12</t>
    <phoneticPr fontId="1" type="noConversion"/>
  </si>
  <si>
    <t>1.4/1.6/1.8/2.0 GHz 대역에서의 저속데이터 이동위성업무 주파수 분배 연구</t>
    <phoneticPr fontId="1" type="noConversion"/>
  </si>
  <si>
    <t>Information technology — Big data reference architecture — Part 1: Framework and application process
Big data reference architecture Part 3: Reference architecture</t>
  </si>
  <si>
    <t>ISO/IEC 20547-1</t>
  </si>
  <si>
    <t>프로젝트 리더(하수욱)</t>
  </si>
  <si>
    <t>Autonomic operations support protocols in the Internet of things</t>
  </si>
  <si>
    <t>ITU-T Y.4493</t>
  </si>
  <si>
    <t>에디터(최영환)</t>
  </si>
  <si>
    <t>IoT Service Management API REST Specification</t>
  </si>
  <si>
    <t>ITU-T Y.4703</t>
  </si>
  <si>
    <t>IoT Device Management API REST Specification</t>
  </si>
  <si>
    <t>ITU-T Y.4704</t>
  </si>
  <si>
    <t>Convergence framework for enhancement of service intelligence based on Internet of Things</t>
  </si>
  <si>
    <t>ITU-T Y.IoT-CONV-fr</t>
  </si>
  <si>
    <t>1. 미국
2. 미국</t>
  </si>
  <si>
    <t>Framework and requirements for the construction of 3D intelligent driven digital human application systems</t>
  </si>
  <si>
    <t>ITU-T F.748.27</t>
  </si>
  <si>
    <t>SG16 Q21</t>
  </si>
  <si>
    <t>SG16 부의장(강신각)</t>
  </si>
  <si>
    <t>Requirements and architectures of  multimedia platform for digital human services using edge cloud</t>
  </si>
  <si>
    <t>Requirements and framework of digital twin platform for supporting multimedia services</t>
  </si>
  <si>
    <t>ITU-T F.748.28</t>
  </si>
  <si>
    <t>Framework for service interworking with device discovery and management in heterogeneous Internet of things environments</t>
  </si>
  <si>
    <t>ITU-T Y.4477-Rev</t>
  </si>
  <si>
    <t>Overview of IoT Convergence</t>
  </si>
  <si>
    <t>ITU-T Y.Sub.IoT-CONV</t>
  </si>
  <si>
    <t>Transmission of IPv6 Packets over Short-Range Optical Wireless Communications</t>
  </si>
  <si>
    <t>draft-ietf-6lo-owc</t>
  </si>
  <si>
    <t>6LO</t>
  </si>
  <si>
    <t>1.TRANSMISSION OF IPV6 PACKETS OVER SHORT-RANGE OPTICAL WIRELESS COMMUNICATIONS
2.THE METHOD FOR STATIC CONTEXT HEADER COMPRESSION FOR IPV6 PACKET COMMUNICATION BASED ON IEEE 802.15.7</t>
  </si>
  <si>
    <t>Cloud Computing - Functional requirements for edge cloud</t>
  </si>
  <si>
    <t>ITU-T Y.3552</t>
  </si>
  <si>
    <t>에디터(인민교)</t>
  </si>
  <si>
    <t>Cloud computing – Distributed cloud functional architecture</t>
  </si>
  <si>
    <t>ITU-T  Y.3553</t>
  </si>
  <si>
    <t>Artificial intelligence - Data quality for analytics and machine learning (ML) - Part 1: Overview, terminology, and examples</t>
  </si>
  <si>
    <t>ISO/IEC 5259-1</t>
  </si>
  <si>
    <t>(ex Y.BigData-reqts) Big data – cloud computing based requirements and capabilities</t>
  </si>
  <si>
    <t>ITU-T Y.3600</t>
  </si>
  <si>
    <t>Big data - Framwork and requirements for data exchange</t>
  </si>
  <si>
    <t>ITU-T Y.3601</t>
  </si>
  <si>
    <t>Big data - Functional requirements for data provenance</t>
  </si>
  <si>
    <t>ITU-T Y.3602</t>
  </si>
  <si>
    <t>1. METHOD OF SUPPORTING BIG DATA ANALYSIS BASED ON PROVENANCE INFORMATION AND APPARATUSES PERFORMING THE SAME</t>
  </si>
  <si>
    <t>1. 하수욱</t>
  </si>
  <si>
    <t>Big data - Requirements and conceptual model of metadata for data catalouge</t>
  </si>
  <si>
    <t>ITU-T Y.3603</t>
  </si>
  <si>
    <t>Information technology - Big data reference architecture - Part 2: Use cases and derived requirements</t>
  </si>
  <si>
    <t>ISO/IEC 20547-2</t>
  </si>
  <si>
    <t>Study on application enablement for Localized Mobile Metaverse Services</t>
  </si>
  <si>
    <t>TR 23.700-21</t>
  </si>
  <si>
    <t>지역적인 모바일 메타버스 서비스 제공을 위한 응용 계층 인에이블러 표준 개발</t>
  </si>
  <si>
    <t>Service Enabler Architecture Layer for Verticals (SEAL); Spatial mapping and Spatial anchors management</t>
  </si>
  <si>
    <t>TS 23.437</t>
  </si>
  <si>
    <t>버티컬 서비스를 위한 서비스 인에이블러  계층 아키텍처 중 공간 맵 및 공간 앵커 관리를 위한 표준 개발</t>
  </si>
  <si>
    <t>Framework of cross edge decentralized service by using DLT and edge computing technologies for IoT devices</t>
  </si>
  <si>
    <t>ITU-T Y.4486</t>
  </si>
  <si>
    <t>사물인터넷(IoT) 장치를 위한 DLT 및 엣지 컴퓨팅 기술을 활용한 크로스 엣지 분산 서비스 프레임워크</t>
  </si>
  <si>
    <t>Management framework for IoT-based distributed power equipment</t>
  </si>
  <si>
    <t>사물인터넷(IoT) 기반 분산 전력 장비 관리 프레임워크</t>
  </si>
  <si>
    <t>Classification of visualization precision levels for digital twin systems in smart sustainable cities</t>
  </si>
  <si>
    <t>SG20 Q7</t>
  </si>
  <si>
    <t>스마트 지속 가능한 도시의 디지털 트윈 시스템에서 시각화 정밀도 수준 분류법</t>
  </si>
  <si>
    <t>스마트 빌딩을 위한 IoT 기반 에너지 절약 서비스 기능구조</t>
  </si>
  <si>
    <t>System architecture for the 5G System (5GS)</t>
  </si>
  <si>
    <t>TS 23.501</t>
  </si>
  <si>
    <t>5G 시스템 구조 전반</t>
  </si>
  <si>
    <t>1. SERVICE REQUEST METHOD FOR 5G LOCAL SERVICE</t>
  </si>
  <si>
    <t>1. 이수환</t>
  </si>
  <si>
    <t>SG20 부의장(김형준)
SG20 Q1 라포처(이준섭)</t>
    <phoneticPr fontId="1" type="noConversion"/>
  </si>
  <si>
    <t>프로젝트 리더(정상진)</t>
    <phoneticPr fontId="1" type="noConversion"/>
  </si>
  <si>
    <t>에디터(박주영, 최문환)</t>
    <phoneticPr fontId="1" type="noConversion"/>
  </si>
  <si>
    <t>에디터(이창규)</t>
    <phoneticPr fontId="1" type="noConversion"/>
  </si>
  <si>
    <t>에디터(유상근)</t>
    <phoneticPr fontId="1" type="noConversion"/>
  </si>
  <si>
    <t>에디터(이진영)</t>
    <phoneticPr fontId="1" type="noConversion"/>
  </si>
  <si>
    <t>에디터(이준섭)</t>
    <phoneticPr fontId="1" type="noConversion"/>
  </si>
  <si>
    <t>ITU-T Y.4506</t>
    <phoneticPr fontId="1" type="noConversion"/>
  </si>
  <si>
    <t>ITU-T L.1632</t>
    <phoneticPr fontId="1" type="noConversion"/>
  </si>
  <si>
    <t>ITU-T Q.5028</t>
    <phoneticPr fontId="1" type="noConversion"/>
  </si>
  <si>
    <t>SG11 WP2 의장(고남석)</t>
    <phoneticPr fontId="1" type="noConversion"/>
  </si>
  <si>
    <t>Requirements of integrating virtual and physical worlds through digital twins for the metaverse</t>
    <phoneticPr fontId="1" type="noConversion"/>
  </si>
  <si>
    <t>ITU-T Y.dtmv-reqts</t>
    <phoneticPr fontId="1" type="noConversion"/>
  </si>
  <si>
    <t>디지털 트윈 기반의 현실 가상 통합을 통해 메타버스 서비스로서 제공하는 사례 및 관련 요구사항 정의</t>
    <phoneticPr fontId="1" type="noConversion"/>
  </si>
  <si>
    <t>PR20230270US</t>
    <phoneticPr fontId="1" type="noConversion"/>
  </si>
  <si>
    <t>Reference model of integrating virtual and physical worlds through digital twins for the metaverse</t>
    <phoneticPr fontId="1" type="noConversion"/>
  </si>
  <si>
    <t>ITU-T Y.dtmv-ref</t>
    <phoneticPr fontId="1" type="noConversion"/>
  </si>
  <si>
    <t>디지털 트윈 기반의 현실 가상 통합을 통해 메타버스 서비스로서 제공할 때 기능 참조구조 및 기능 구성요소를 정의</t>
    <phoneticPr fontId="1" type="noConversion"/>
  </si>
  <si>
    <t xml:space="preserve">김학서 </t>
    <phoneticPr fontId="1" type="noConversion"/>
  </si>
  <si>
    <t>PR20230929US</t>
    <phoneticPr fontId="1" type="noConversion"/>
  </si>
  <si>
    <t>Interface model and its requirements of integrating virtual and physical worlds through digital twins for the metaverse</t>
    <phoneticPr fontId="1" type="noConversion"/>
  </si>
  <si>
    <t>ITU-T Y.dtmv-if</t>
    <phoneticPr fontId="1" type="noConversion"/>
  </si>
  <si>
    <t>디지털 트윈 기반의 현실 가상 통합을 통해 메타버스 서비스로서 제공할 때 기능 구성요소들과 외부 정보시스템 간의 데이터 인터페이스에 대한 모델과 관련 요구사항 정의</t>
    <phoneticPr fontId="1" type="noConversion"/>
  </si>
  <si>
    <t>PR20240352US</t>
    <phoneticPr fontId="1" type="noConversion"/>
  </si>
  <si>
    <t>하이브리드 피어-투-피어 네트워크 내 피어, 및 피어 간 경로 설정 방법</t>
    <phoneticPr fontId="1" type="noConversion"/>
  </si>
  <si>
    <t>1.현욱
2.이창규
3.허미영</t>
    <phoneticPr fontId="1" type="noConversion"/>
  </si>
  <si>
    <t>PR20231055US</t>
    <phoneticPr fontId="1" type="noConversion"/>
  </si>
  <si>
    <t>분산 네트워크를 활용한 인공지능 기반 비디오 전송 방법 및 장치</t>
    <phoneticPr fontId="1" type="noConversion"/>
  </si>
  <si>
    <t>1.이창규
2.허미영
3.현욱</t>
    <phoneticPr fontId="1" type="noConversion"/>
  </si>
  <si>
    <t>ITU-T Q.4104</t>
    <phoneticPr fontId="1" type="noConversion"/>
  </si>
  <si>
    <t>ASDF</t>
    <phoneticPr fontId="1" type="noConversion"/>
  </si>
  <si>
    <t>PR20200408US</t>
    <phoneticPr fontId="1" type="noConversion"/>
  </si>
  <si>
    <t>Standard on Architecture of Digital Twin System for Carbon Emission Management</t>
    <phoneticPr fontId="1" type="noConversion"/>
  </si>
  <si>
    <t>이현정, 이창규, 이미숙</t>
    <phoneticPr fontId="1" type="noConversion"/>
  </si>
  <si>
    <t>2888.7 TG의장(이현정)</t>
    <phoneticPr fontId="1" type="noConversion"/>
  </si>
  <si>
    <t>PR20211189US</t>
    <phoneticPr fontId="1" type="noConversion"/>
  </si>
  <si>
    <t>디지털 트윈 기반 탄소 배출 관리 방법 및 장치</t>
    <phoneticPr fontId="1" type="noConversion"/>
  </si>
  <si>
    <t>ITU-T Y.4466</t>
    <phoneticPr fontId="1" type="noConversion"/>
  </si>
  <si>
    <t>스마트 온실 서비스를 위한 서비스 요구사항, 참조모델, 기능구조 및 인터페이스 등의 프레임워크 정의</t>
    <phoneticPr fontId="1" type="noConversion"/>
  </si>
  <si>
    <t>최문환</t>
    <phoneticPr fontId="1" type="noConversion"/>
  </si>
  <si>
    <t>스마트 축산의 개념모델, 요구사항 및 참조모델 정의</t>
    <phoneticPr fontId="1" type="noConversion"/>
  </si>
  <si>
    <t>박주영</t>
    <phoneticPr fontId="1" type="noConversion"/>
  </si>
  <si>
    <t>스마트 농업 분야의 표준화 항목 도출을 위한 다양한 시나리오 및 유즈케이스 개발</t>
    <phoneticPr fontId="1" type="noConversion"/>
  </si>
  <si>
    <t>스마트 온실 서비스를 위한 데이터 항목 및 각각에 대한 요구사항, 참조 데이터 모델(개념모델 및 논리 모델) 정의</t>
    <phoneticPr fontId="1" type="noConversion"/>
  </si>
  <si>
    <t>Requirements and functional model of data management system for smart greenhouse service</t>
    <phoneticPr fontId="1" type="noConversion"/>
  </si>
  <si>
    <t>ITU-T Y.4606</t>
    <phoneticPr fontId="1" type="noConversion"/>
  </si>
  <si>
    <t>스마트 온실 서비스를 위한 데이터의 수집과 저장, 처리, 분석 및 처리와 같은 데이터 관리 시스템 요구사항과 기능 구조 정의</t>
    <phoneticPr fontId="1" type="noConversion"/>
  </si>
  <si>
    <t>Requirements and capabilities of IoT-based smart crop growth monitoring system</t>
    <phoneticPr fontId="1" type="noConversion"/>
  </si>
  <si>
    <t>ITU-T Y.SCGMS</t>
    <phoneticPr fontId="1" type="noConversion"/>
  </si>
  <si>
    <t>IoT 기반 스마트 작물 생육 모니터링 시스템 요구사항 및 기능을 정의</t>
    <phoneticPr fontId="1" type="noConversion"/>
  </si>
  <si>
    <t>에디터(최문환)</t>
    <phoneticPr fontId="1" type="noConversion"/>
  </si>
  <si>
    <t>Requirements and a reference model of data for Smart Pest and Disease Management (SPDM) service</t>
    <phoneticPr fontId="1" type="noConversion"/>
  </si>
  <si>
    <t>ITU-T Y.SPDM-reqts</t>
    <phoneticPr fontId="1" type="noConversion"/>
  </si>
  <si>
    <t>스마트 방제(해충 및 질병) 관리 서비스를 위한 요구사항 및 참조 데이터 모델을 개발</t>
    <phoneticPr fontId="1" type="noConversion"/>
  </si>
  <si>
    <t>에디터(박주영), 에디터(윤성현)</t>
    <phoneticPr fontId="1" type="noConversion"/>
  </si>
  <si>
    <t>Framework of self-organization networking in Internet of things environments</t>
    <phoneticPr fontId="1" type="noConversion"/>
  </si>
  <si>
    <t>ITU-T Y.4417-Rev</t>
    <phoneticPr fontId="1" type="noConversion"/>
  </si>
  <si>
    <t>IoT 환경에서 자율 구성 네트워킹(SON, Self-Organization Networking) 프레임워크 정의</t>
    <phoneticPr fontId="1" type="noConversion"/>
  </si>
  <si>
    <t>Data management interfaces for intelligent edge computing-based smart pest and disease management service</t>
    <phoneticPr fontId="1" type="noConversion"/>
  </si>
  <si>
    <t>ITU-T Q.IEC-SPDM</t>
    <phoneticPr fontId="1" type="noConversion"/>
  </si>
  <si>
    <t xml:space="preserve"> 지능형 엣지 컴퓨팅(IEC) 기반의 스마트 방제 서비스를 위한 데이터 관리 인터페이스를 정의</t>
    <phoneticPr fontId="1" type="noConversion"/>
  </si>
  <si>
    <t>에디터(이창규), 에디터(박주영), 에디터(윤성현)</t>
    <phoneticPr fontId="1" type="noConversion"/>
  </si>
  <si>
    <t xml:space="preserve">
SG11 WP2 의장(고남석)</t>
    <phoneticPr fontId="1" type="noConversion"/>
  </si>
  <si>
    <t>에디터(임정일)</t>
    <phoneticPr fontId="1" type="noConversion"/>
  </si>
  <si>
    <t>SG16 Q25 라포처(김형준)</t>
    <phoneticPr fontId="1" type="noConversion"/>
  </si>
  <si>
    <t>SG5 WP3 부의장(김은숙)</t>
    <phoneticPr fontId="1" type="noConversion"/>
  </si>
  <si>
    <t>SG5 WP3 부의장(김용운)</t>
    <phoneticPr fontId="1" type="noConversion"/>
  </si>
  <si>
    <t>SG11 Q8 라포처(이창규),
SG11 WP2 의장(강신각)</t>
    <phoneticPr fontId="1" type="noConversion"/>
  </si>
  <si>
    <t>에디터(정영식)</t>
    <phoneticPr fontId="1" type="noConversion"/>
  </si>
  <si>
    <t>프로젝트 에디터(유상근)</t>
    <phoneticPr fontId="1" type="noConversion"/>
  </si>
  <si>
    <t>Health informatics — Guideline for self-assessment questionnaire systems</t>
    <phoneticPr fontId="1" type="noConversion"/>
  </si>
  <si>
    <t>TC 215 WG2</t>
    <phoneticPr fontId="1" type="noConversion"/>
  </si>
  <si>
    <t xml:space="preserve">자가진단 문진 시스템 개발을 위한 가이드라인으로 문진시스템 게발 요구사항, 문진을 위한 데이터 엘리먼트 등 정의  </t>
    <phoneticPr fontId="1" type="noConversion"/>
  </si>
  <si>
    <t>김성혜, 유상근, 김용운, 이창규</t>
    <phoneticPr fontId="1" type="noConversion"/>
  </si>
  <si>
    <t>프로젝트 리더(이준섭)</t>
    <phoneticPr fontId="1" type="noConversion"/>
  </si>
  <si>
    <t>Procedures for the 5G System (5GS);Stage 2</t>
  </si>
  <si>
    <t>TS 23.502 (Release 18)</t>
  </si>
  <si>
    <t>성지훈</t>
  </si>
  <si>
    <t>VISS version 2 - Core</t>
  </si>
  <si>
    <t>VISS WG</t>
  </si>
  <si>
    <t>이원석</t>
  </si>
  <si>
    <t>에디터(이원석)</t>
  </si>
  <si>
    <t>VISS version 2 - Transport</t>
  </si>
  <si>
    <t>에디터(이종화)</t>
    <phoneticPr fontId="1" type="noConversion"/>
  </si>
  <si>
    <t>Requirements for applying formal methods to software-defined networking</t>
  </si>
  <si>
    <t>Y.3320</t>
    <phoneticPr fontId="1" type="noConversion"/>
  </si>
  <si>
    <t>SDN 서비스/시스템에 적용할 수 있는 정형검증 언어/방식에 대한 요구사항 정의</t>
    <phoneticPr fontId="1" type="noConversion"/>
  </si>
  <si>
    <t>이종화,최윤철,신명기</t>
    <phoneticPr fontId="1" type="noConversion"/>
  </si>
  <si>
    <t>개발 표준특허 기술은 5G 시스템에서 연합학습시 모델 프로비저닝을 위한 기술로 1개의 표준특허에 반영되어 있음</t>
    <phoneticPr fontId="1" type="noConversion"/>
  </si>
  <si>
    <t>신명기</t>
    <phoneticPr fontId="1" type="noConversion"/>
  </si>
  <si>
    <t>PR20220044</t>
    <phoneticPr fontId="1" type="noConversion"/>
  </si>
  <si>
    <t>- MANAGEMENT SERVER THAT CONTROLS NETWORK DEVICES, AND PROCESSING METHODS OF NETWORK DEVICES AND MODEL MANAGEMENT SERVERS</t>
    <phoneticPr fontId="1" type="noConversion"/>
  </si>
  <si>
    <t>Signalling architecture for microservices based intelligent edge computing</t>
    <phoneticPr fontId="1" type="noConversion"/>
  </si>
  <si>
    <t>ITU-T Q.5007</t>
    <phoneticPr fontId="1" type="noConversion"/>
  </si>
  <si>
    <t>본 표준은 지능형 에지컴퓨팅 표준인 ITU-T Q.5001 을 기반으로 마이크로 서비스를 이용하여 지능형 에지 컴퓨팅 신호 구조를 정의함</t>
    <phoneticPr fontId="1" type="noConversion"/>
  </si>
  <si>
    <t>유태완</t>
    <phoneticPr fontId="1" type="noConversion"/>
  </si>
  <si>
    <t>Data management interfaces for public decision-making framework on intelligent edge computing</t>
    <phoneticPr fontId="1" type="noConversion"/>
  </si>
  <si>
    <t>ITU-T Q.IEC-PDMF</t>
    <phoneticPr fontId="1" type="noConversion"/>
  </si>
  <si>
    <t>본 표준은 지능형 에지 컴퓨팅구조를 활용하여 중앙 정부 또는 지방 정부 차원의 공공 정책을 데이터 기반의 인공지능 서비스를 통해 개발하는 정책의사결정 구조와 데이터 거버넌스, 데이터 관리  인터페이스와 API를 정의함</t>
    <phoneticPr fontId="1" type="noConversion"/>
  </si>
  <si>
    <t>유태완,강현중,김태환,이연희</t>
    <phoneticPr fontId="1" type="noConversion"/>
  </si>
  <si>
    <t>Framework of building infrastructure management system for sustainable city</t>
    <phoneticPr fontId="1" type="noConversion"/>
  </si>
  <si>
    <t>Electrical energy storage (EES) systems - Part 3-3: Planning and performance assessment of electrical energy storage systems - Additional requirements for energy intensive and backup power applications</t>
    <phoneticPr fontId="1" type="noConversion"/>
  </si>
  <si>
    <t>프로젝트 리더(이진영)</t>
    <phoneticPr fontId="1" type="noConversion"/>
  </si>
  <si>
    <t xml:space="preserve">ITU-T Y Suppl. 73 </t>
    <phoneticPr fontId="1" type="noConversion"/>
  </si>
  <si>
    <t>ISO/CD 23247-6</t>
    <phoneticPr fontId="1" type="noConversion"/>
  </si>
  <si>
    <t>ISO/CD 23247-5</t>
    <phoneticPr fontId="1" type="noConversion"/>
  </si>
  <si>
    <t>최문환, 최영환</t>
    <phoneticPr fontId="1" type="noConversion"/>
  </si>
  <si>
    <t>이창규, 박주영, 윤성현</t>
    <phoneticPr fontId="1" type="noConversion"/>
  </si>
  <si>
    <t>AI-Based Distributed Processing Automation in Digital Twin Network</t>
    <phoneticPr fontId="1" type="noConversion"/>
  </si>
  <si>
    <t>draft-oh-nmrg-ai-adp-02</t>
    <phoneticPr fontId="1" type="noConversion"/>
  </si>
  <si>
    <t>NMRG</t>
    <phoneticPr fontId="1" type="noConversion"/>
  </si>
  <si>
    <t>디지털 트윈 네트워크를 위한 AI-기반 분산 프로세싱 자동화</t>
    <phoneticPr fontId="1" type="noConversion"/>
  </si>
  <si>
    <t>ISO 16300-4</t>
    <phoneticPr fontId="1" type="noConversion"/>
  </si>
  <si>
    <t>TC184 SC5</t>
    <phoneticPr fontId="1" type="noConversion"/>
  </si>
  <si>
    <t>프로젝트 리더(이현정)</t>
    <phoneticPr fontId="1" type="noConversion"/>
  </si>
  <si>
    <t>Data EG</t>
    <phoneticPr fontId="1" type="noConversion"/>
  </si>
  <si>
    <t>draft-lingga-i2nsf-analytics-interface-dm</t>
  </si>
  <si>
    <t>RFC 9556</t>
  </si>
  <si>
    <t>COVESA VISS version 3.0 - Core</t>
    <phoneticPr fontId="1" type="noConversion"/>
  </si>
  <si>
    <t>https://raw.githack.com/COVESA/vehicle-information-service-specification/main/spec/VISSv3.0_Core.html</t>
    <phoneticPr fontId="1" type="noConversion"/>
  </si>
  <si>
    <t>VISS (Vehicle Information Service Specification) Version 3.0 CORE 표준은 차량 정보 서비스의 차기 표준 버전으로 차량 내 네트워크의 제어 장치에서 센서로부터 수집된 정보 및 신호에 대한 접근을 관리하고 이러한 정보를 효율적으로 교환하는 방법을 정의함. 본 표준에서 사용하는 차량 데이터 모델은 COVESA의 VSS(Vehilcle Signal Specification)을 사용함.</t>
    <phoneticPr fontId="1" type="noConversion"/>
  </si>
  <si>
    <t>COVESA VISS version 3.0 -Payload Encoding</t>
    <phoneticPr fontId="1" type="noConversion"/>
  </si>
  <si>
    <t>https://raw.githack.com/COVESA/vehicle-information-service-specification/main/spec/VISSv3.0_PayloadEncoding.html</t>
    <phoneticPr fontId="1" type="noConversion"/>
  </si>
  <si>
    <t>본 표준은 차량 정보 서비스 사양 버전 3.0 기반의 차량 데이터 인코딩 및 디코딩 방법에 대한표준을 정의함</t>
    <phoneticPr fontId="1" type="noConversion"/>
  </si>
  <si>
    <t>Big data – Functional requirements for data supplier</t>
    <phoneticPr fontId="1" type="noConversion"/>
  </si>
  <si>
    <t>Y.ds-reqts</t>
    <phoneticPr fontId="1" type="noConversion"/>
  </si>
  <si>
    <t>본 표준은  빅데이터 환경에서 다양한 유형의 데이터 공급자들이 제공해야 할 기능 요구사항을 정의함</t>
    <phoneticPr fontId="1" type="noConversion"/>
  </si>
  <si>
    <t>Big data – Reference architecture for data supplier</t>
    <phoneticPr fontId="1" type="noConversion"/>
  </si>
  <si>
    <t>본 표준은  빅데이터 환경에서 다양한 유형의 데이터 공급자에 대한 참조구조 표준을 정의함</t>
    <phoneticPr fontId="1" type="noConversion"/>
  </si>
  <si>
    <t>Requirements of interoperability between smart contract and artificial intelligence based on distributed ledger technology</t>
  </si>
  <si>
    <t>F.DLT-SCAI</t>
  </si>
  <si>
    <t>블록체인(스마트계약 등)과 인공지능 간의 상호운용을 위한 요구사항 제시</t>
  </si>
  <si>
    <t>에디터(최윤철)</t>
  </si>
  <si>
    <t>Framework and requirements of electricity data sharing system</t>
  </si>
  <si>
    <t>Y.EDSS</t>
  </si>
  <si>
    <t>전기 데이터 공유 시스템 프레임워크 및 요구사항 제시</t>
  </si>
  <si>
    <t>Reference architecture of data sharing and exchange based on lightweight intelligent software framework for Internet of things devices</t>
  </si>
  <si>
    <t>Y.DSE-LISF</t>
  </si>
  <si>
    <t>사물인터넷 디바이스를 위한 경량 지능형 소프트웨어 프레임워크 상에서 인공지능 학습모델 공유 및 교환 구조 제시</t>
  </si>
  <si>
    <t>박정수, 최윤철, 김성한</t>
  </si>
  <si>
    <t>Framework of delegation service for Internet of things devices</t>
  </si>
  <si>
    <t>Y.4463-rev</t>
  </si>
  <si>
    <t>물리/가상공간 간 센싱 데이터의 소유권 관리 모델표준 및 센싱데이터 저장 및 공유 기법 제시</t>
  </si>
  <si>
    <t>김영호, 박정수, 이윤경</t>
  </si>
  <si>
    <t>에디터(김영호)</t>
  </si>
  <si>
    <t>타부서실적</t>
  </si>
  <si>
    <t>Framework of Internet of things based monitoring and management for Lift</t>
  </si>
  <si>
    <t xml:space="preserve">Y.4420-rev </t>
  </si>
  <si>
    <t>승강기 원격 모니터링 프로토콜 및 데이터모델 정의</t>
  </si>
  <si>
    <t>최윤철, 박정수, 김진기</t>
  </si>
  <si>
    <t>Functional architecture of Next Generation Service Overlay Networks</t>
  </si>
  <si>
    <t xml:space="preserve">IEEE P1903-2011 </t>
  </si>
  <si>
    <t>P1903</t>
  </si>
  <si>
    <t>서비스 오버레이 네트워크에 대한 구조, 구성요소 및 인터페이스를 정의함</t>
  </si>
  <si>
    <t>이종화, 이승익, 강신각</t>
  </si>
  <si>
    <t>Automation systems and integration — Equipment behaviour catalogues for virtual production system — Part 6: An equipment behaviour catalogue with machine learning</t>
  </si>
  <si>
    <t>TG13부의장 (임상규)</t>
    <phoneticPr fontId="1" type="noConversion"/>
  </si>
  <si>
    <t>에디터(이상우)</t>
    <phoneticPr fontId="1" type="noConversion"/>
  </si>
  <si>
    <t>SG17 Q7 라포처(나재훈)
SG17 WP4 의장(나재훈)</t>
    <phoneticPr fontId="1" type="noConversion"/>
  </si>
  <si>
    <t>SG17 Q13 라포쳐(이상우)</t>
    <phoneticPr fontId="1" type="noConversion"/>
  </si>
  <si>
    <t>에디터(김영호)</t>
    <phoneticPr fontId="1" type="noConversion"/>
  </si>
  <si>
    <t>에디터(한종욱), 에디터(임경수), 에디터(김건우)</t>
    <phoneticPr fontId="1" type="noConversion"/>
  </si>
  <si>
    <t>에디터(김대원)</t>
    <phoneticPr fontId="1" type="noConversion"/>
  </si>
  <si>
    <t>에디터(정영우)</t>
    <phoneticPr fontId="1" type="noConversion"/>
  </si>
  <si>
    <t>에디터(오명훈), 에디터(정영우)</t>
    <phoneticPr fontId="1" type="noConversion"/>
  </si>
  <si>
    <t>에디터(오명훈)</t>
    <phoneticPr fontId="1" type="noConversion"/>
  </si>
  <si>
    <t>1.등록
2.등록
3.출원</t>
    <phoneticPr fontId="1" type="noConversion"/>
  </si>
  <si>
    <t>1.하정락
2.김창기
3.김창기
4.김경수</t>
    <phoneticPr fontId="1" type="noConversion"/>
  </si>
  <si>
    <t>에디터(윤빈영)</t>
    <phoneticPr fontId="1" type="noConversion"/>
  </si>
  <si>
    <t>에디터(김정윤)</t>
    <phoneticPr fontId="1" type="noConversion"/>
  </si>
  <si>
    <t>에디터(김정윤), 에디터(최태상)</t>
    <phoneticPr fontId="1" type="noConversion"/>
  </si>
  <si>
    <t>에디터(김강희)</t>
    <phoneticPr fontId="1" type="noConversion"/>
  </si>
  <si>
    <t>IEEE 802.22</t>
    <phoneticPr fontId="1" type="noConversion"/>
  </si>
  <si>
    <t>IEEE 2888.6</t>
    <phoneticPr fontId="1" type="noConversion"/>
  </si>
  <si>
    <t>SC29 WG1 의장 (오관정)</t>
    <phoneticPr fontId="1" type="noConversion"/>
  </si>
  <si>
    <t>에디터(조두희)</t>
    <phoneticPr fontId="1" type="noConversion"/>
  </si>
  <si>
    <t>에디터(류호준)</t>
    <phoneticPr fontId="1" type="noConversion"/>
  </si>
  <si>
    <t xml:space="preserve">이수환 </t>
    <phoneticPr fontId="1" type="noConversion"/>
  </si>
  <si>
    <t>5G 시스템 절차 전반</t>
    <phoneticPr fontId="1" type="noConversion"/>
  </si>
  <si>
    <t>1. SESSION MANAGEMENT METHOD BASED ON REALLOCATION OF PDU SESSION ANCHOR DEVICE, AND DEVICE PERFORMING THE SESSION MANAGEMENT METHOD
2. NETWORK DATA COLLECTION METHOD FROM NETWORK FUNCTION DEVICE FOR NETWORK DATA ANALYTIC FUNCTION
3. NETWORK DATA COLLECTION METHOD FROM APPLICATION FUNCTION DEVICE FOR NETWORK DATA ANALYTIC FUNCTION
4. METHOD AND APPARATUS FOR COLLECTING NETWORK DATA
5. METHOD AND APPARATUS FOR COLLECTING DATA THROUGH EVENT EXPOSURE SERVICE</t>
    <phoneticPr fontId="1" type="noConversion"/>
  </si>
  <si>
    <t>1. 미국
2. 미국
3. 미국
4. 미국
5. 미국</t>
    <phoneticPr fontId="1" type="noConversion"/>
  </si>
  <si>
    <t>1. 이수환
2. 이수환
3. 이수환
4. 이수환
5. 이수환</t>
    <phoneticPr fontId="1" type="noConversion"/>
  </si>
  <si>
    <t>Architecture enhancements for 5G System (5GS) to support network data analytics services</t>
    <phoneticPr fontId="1" type="noConversion"/>
  </si>
  <si>
    <t>5G 시스템 자동화 관련 구조 및 절차</t>
    <phoneticPr fontId="1" type="noConversion"/>
  </si>
  <si>
    <t>1. METHOD AND SYSTEM FOR PROVIDING SERVICE EXPERIENCE ANALYSIS BASED ON NETWORK DATA ANALYSIS
2. OPTIMIZATION OF NETWORK DATA ANALYSIS DEVICE
3. METHOD AND SYSTEM FOR PROVIDING COMMUNICATION ANALYSIS OF USER EQUIPMENT BASED ON NETWORK DATA ANALYSIS
4. MANAGEMENT METHOD OF MACHINE LEARNING MODEL FOR NETWORK DATA ANALYTICS FUNCTION DEVICE
5. APPARATUS AND METHOD FOR EVALUATING MACHINE LEARNING MODEL
6. NETWORK DATA ANALYSIS METHOD AND SYSTEM BASED ON FEDERATED LEARNING
7. METHOD OF USING ANALYTICS FEEDBACK INFORMATION FOR ANALYTICS ACCURACY OF NETWORK DATA AND DEVICES FOR PERFORMING THE SAME
8. METHOD OF PROVIDING MODEL FOR ANALYTICS OF NETWORK DATA AND APPARATUSES FOR PERFORMING THE SAME</t>
    <phoneticPr fontId="1" type="noConversion"/>
  </si>
  <si>
    <t>1. 미국
2. 미국
3. 미국
4. 미국
5. 미국
6. 미국
7. 미국
8. 미국</t>
    <phoneticPr fontId="1" type="noConversion"/>
  </si>
  <si>
    <t>1. 이수환
2. 이수환
3. 이수환
4. 이수환
5. 이수환
6. 이수환
7. 이수환
8. 이수환</t>
    <phoneticPr fontId="1" type="noConversion"/>
  </si>
  <si>
    <t>에디터(최영환)</t>
    <phoneticPr fontId="1" type="noConversion"/>
  </si>
  <si>
    <t>에디터(이강찬)</t>
    <phoneticPr fontId="1" type="noConversion"/>
  </si>
  <si>
    <t>ITU-T H.623</t>
    <phoneticPr fontId="1" type="noConversion"/>
  </si>
  <si>
    <t>ITU-T Y.2020</t>
    <phoneticPr fontId="1" type="noConversion"/>
  </si>
  <si>
    <t>ITU-T Y.3501</t>
    <phoneticPr fontId="1" type="noConversion"/>
  </si>
  <si>
    <t>ITU-T Y.2232</t>
    <phoneticPr fontId="1" type="noConversion"/>
  </si>
  <si>
    <t>ITU-T X.1144</t>
    <phoneticPr fontId="1" type="noConversion"/>
  </si>
  <si>
    <t>ITU-T X.sf-dtea</t>
    <phoneticPr fontId="1" type="noConversion"/>
  </si>
  <si>
    <t>ITU-T X.nspam</t>
    <phoneticPr fontId="1" type="noConversion"/>
  </si>
  <si>
    <t>ITU-T X.smdtsc</t>
    <phoneticPr fontId="1" type="noConversion"/>
  </si>
  <si>
    <t xml:space="preserve">ITU-T X.1455	</t>
    <phoneticPr fontId="1" type="noConversion"/>
  </si>
  <si>
    <t>ITU-T X.1282</t>
    <phoneticPr fontId="1" type="noConversion"/>
  </si>
  <si>
    <t>ITU-T X.tc-ifd</t>
    <phoneticPr fontId="1" type="noConversion"/>
  </si>
  <si>
    <t>Framework for creation, storage, distribution and enforcement of policies for network security</t>
  </si>
  <si>
    <t>ITU-T X.1036</t>
  </si>
  <si>
    <t>시스템 또는 서비스의 보안 제어를 주도하는 일련의 네트워크 보안 정책을 수립합니다. 또한 다양한 네트워크 조건과 장치에 적용할 수 있는 네트워크 보안 정책의 생성, 저장, 배포 및 시행을 위한 프레임워크를 정의한다.</t>
  </si>
  <si>
    <t>Use cases for structured threat information expression</t>
  </si>
  <si>
    <t>ITU-T X.1215</t>
  </si>
  <si>
    <t>사이버 위협 인텔리전스(CTI) 및 정보 공유를 지원하기 위해 구조화된 위협 정보 표현(STIX) 언어를 사용하는 방법에 대한 다양한 사용 사례를 제공한다. STIX 언어의 개념과 기능에 대해서도 설명한다.</t>
  </si>
  <si>
    <t>SG17 Q4 라포처(김종현)</t>
  </si>
  <si>
    <t>Requirements for collection and preservation of cybersecurity incident evidence</t>
  </si>
  <si>
    <t>ITU-T X.1216</t>
  </si>
  <si>
    <t>사이버 보안 사고 대응 및 조사를 위한 일반적인 절차를 설명하고, 사이버 보안 사고 증거의 출처를 분석하며, 이러한 증거의 수집 및 보존에 사용되는 도구에 대한 기능 요구 사항을 조사 프로세스에 명시한다.</t>
  </si>
  <si>
    <t>알려지지 않은 악성코드와 관련된 위협을 분석하고 동적 행위 분석을 기반으로 알려지지 않은 악성코드 탐지를 위한 요구 사항을 정의한다.</t>
  </si>
  <si>
    <t>ITU-T X.1454</t>
    <phoneticPr fontId="1" type="noConversion"/>
  </si>
  <si>
    <t>1. 손석호</t>
    <phoneticPr fontId="1" type="noConversion"/>
  </si>
  <si>
    <t>1. 오명훈
2. 손석호
3. 손석호</t>
    <phoneticPr fontId="1" type="noConversion"/>
  </si>
  <si>
    <t xml:space="preserve">Maritime navigation and radiocommunication equipment and systems - Data Interfaces - Part1: S-421 route plan based on S-100  </t>
  </si>
  <si>
    <t>IEC 63173-1</t>
  </si>
  <si>
    <t>IEC 63173-1 ED1.0은 선박이 출발지에서 다음 정박지까지 항로계획을 육상센터(예를 들어, VTS)와 협의를 하는 자율운항 선박의 경로 설정을 하여 사람이 선박 운영에 개입하는 자율운항 선박을 위한 기초 단계시험부터 시작해서 사람이 선상에 있지만, 선박 운영에 관여하지 않고 운영하기 위한 시험에도 적용할 수 있는 가장 기본적인 선박과 육상 간 상호연동 시험하는 기능을 제공한다.</t>
  </si>
  <si>
    <t>Requirements for attribute-based unlinkable entity authentication</t>
  </si>
  <si>
    <t>SC27</t>
  </si>
  <si>
    <t>속성 기반 비연결(Unlinkable) 엔티티 인증에 대한 프레임워크와 요구 사항을 제시</t>
  </si>
  <si>
    <t>Overview of trust anchors for DLT-based identity management</t>
  </si>
  <si>
    <t>TC307</t>
  </si>
  <si>
    <t>신원 관리를 위해 블록체인과 분산원장기술(DLT)을 활용하는 시스템에서 신뢰 앵커의 사용, 즉 하나 이상의 개체가 일련의 신원 속성을 생성, 부여, 수정, 사용 및 취소할 수 있는 메커니즘에 대한 개념과 고려 사항을 제시</t>
  </si>
  <si>
    <t>Security capability requirements for countering smartphone-based botnets</t>
  </si>
  <si>
    <t>스마트폰 기반 봇넷의 배경과 잠재적 보안 위협을 분석하고 보안 기능 요구 사항을 제시</t>
  </si>
  <si>
    <t>Supplement 29 to ITU-T X-series Recommendations - ITU-T X.1242 Guidelines on countermeasures against short message service (SMS) phishing and smishing attacks</t>
  </si>
  <si>
    <t>스마트폰으로 피싱 사기를 유발하여 스마트폰에서 개인정보를 획득하거나 계좌 소유자가 승인 사실을 인지하지 못한 상태에서 소액의 금액을 승인 및 결제하도록 하는 등 휴대폰을 통한 사기 수법인 단문 메시지 서비스(SMS) 피싱에 대한 범용적인 가이드라인을 제공</t>
  </si>
  <si>
    <t>Security Requirements for IoT Service Platform</t>
  </si>
  <si>
    <t>IoT 서비스 플랫폼에 대한 보안 위협과 도전을 평가하고 보안 위협과 도전을 완화할 수 있는 보안 조치 제시</t>
  </si>
  <si>
    <t>Security framework and requirements for open capabilities of telecommunication services</t>
  </si>
  <si>
    <t>오버더톱(OTT) 서비스가 급성장함에 따라 제3자 서비스 제공업체, 특히 정보기술(IT) 서비스 제공업체와 협력 방안을 모색하여, 통신 서비스의 개방형 기능에 대한 보안 요구사항과 보안 프레임워크를 제공</t>
  </si>
  <si>
    <t>Secure protection guidelines for value-added services provided by telecommunication operators</t>
  </si>
  <si>
    <t>통신 사업자가 제공하는 부가 가치 서비스에 대한 보안 가이드라인을 제공, 이를 통해 사업자가 부가 가치 서비스의 보안을 보장하고 이용자의 편익을 보호</t>
  </si>
  <si>
    <t>Security framework of open platform for FinTech services</t>
  </si>
  <si>
    <t>금융 기술(핀테크) 서비스를 위한 오픈 플랫폼 아키텍처, 오픈 플랫폼의 위협 및 취약점, 핀테크 서비스를 위한 오픈 API 사용 절차 등을 기술.</t>
  </si>
  <si>
    <t>Guidelines for security services provided by operators</t>
  </si>
  <si>
    <t>사업자가 보안 서비스를 보호하고 개선할 수 있는 가이드라인을 제공</t>
  </si>
  <si>
    <t>Security Guidelines of Web-based Online Customer Service</t>
  </si>
  <si>
    <t>웹 기반 온라인 고객의 보안 위협을 네트워크 보안, 시스템 보안, 서비스 보안의 세 가지 측면에서 분석하고 그에 따른 보안 조치를 제시</t>
  </si>
  <si>
    <t>eXtensible Access Control Markup Language (XACML) 3.0</t>
  </si>
  <si>
    <t>권고안 ITU-T X.1144는 권고안 ITU-T X.1142의 업데이트 버전인 확장 가능한 접근 제어 마크업 언어(XACML 3.0)이다. 이 권고안은 언어 구문, 모델, 정책 언어 모델과의 컨텍스트, 구문 및 처리 규칙을 포함한 핵심 XACML을 정의. 이 권고안은 기술적으로 OASIS XACML 3.0 표준과 동등하며 호환된다.</t>
  </si>
  <si>
    <t>Security requirements and mechanisms of peer-to-peer-based telecommunication networks</t>
  </si>
  <si>
    <t>기능 요구 사항과 기능 아키텍처는 각각 ITU-T 권고안 Y.2206과 Y.2080에 정의되어 있지만, 보안 측면은 이 두 권고안에서 다루지 않는다. 권고안 ITU-T X.1163에 정의된 보안 요구 사항 및 메커니즘은 DSN 관련 작업을 보완한다</t>
  </si>
  <si>
    <t>Supplement 21 to ITU-T X-series Recommendations ITU-T X.1143 - Supplement on security framework for web mashup services</t>
  </si>
  <si>
    <t>웹 매시업 서비스의 보안 위협을 완화하고 보안 문제를 해결하기 위한 보안 원칙과 웹 매시업 서비스 보안을 위한 조치를 제시.</t>
  </si>
  <si>
    <t>Supplement 22 to ITU-T X-series Recommendations ITU-T X.1144 - Supplement on enhancements and new features in eXtensible Access Control Markup Language (XACML 3.0)</t>
  </si>
  <si>
    <t>ITU-T X. 1142(XACML 2.0)와 비교하여 권고 ITU-T X.1144(XACML 3.0)의 개선 사항과 새로운 기능을 요약</t>
  </si>
  <si>
    <t>Enhanced entity authentication based on aggregated attributes</t>
  </si>
  <si>
    <t>속성 집계는 여러 ID 서비스 공급자로부터 검색된 엔티티의 속성을 수집하는 메커니즘이다. IdSP는 엔터티가 서비스 받기를 원할 때 집계 요청을 실현할 수 있다. 더 나아가, 엔티티 중심의 속성 집계 메커니즘을 인증에 적용하여 개인정보 유출을 완화할 수도 있다.</t>
  </si>
  <si>
    <t>PR20150041US</t>
  </si>
  <si>
    <t>Enhanced authentication model based aggregated attribute in federated identity management</t>
  </si>
  <si>
    <t>X.1192 (ex X.iptvsec-2)</t>
  </si>
  <si>
    <t>IPTV 콘텐츠 트랜스코딩의 보안과 관련된 기능 요구 사항, 아키텍처 및 메커니즘을 제시.</t>
  </si>
  <si>
    <t>IP20081556</t>
  </si>
  <si>
    <t>Scalable Video Coding Encryption Method and System for Supporting both the Secure
Transcoding and the Load Balancing according to Devices Conditions</t>
  </si>
  <si>
    <t>이승민</t>
  </si>
  <si>
    <t>X.Suppl.17 (ex X.websec-4)</t>
  </si>
  <si>
    <t>강화된 웹 기반 통신 서비스의 보안 위협과 보안 요구사항을 설명하고, 보안 요구사항을 충족하는 보안 기능 및 기술에 대해서도 설명</t>
  </si>
  <si>
    <t>Security architecture and operations for peer-to-peer network</t>
  </si>
  <si>
    <t>다양한 P2P 네트워크에 적용할 수 있는 일반적인 보안 관련 아키텍처 모델을 제시</t>
  </si>
  <si>
    <t>에디터(전해숙)</t>
    <phoneticPr fontId="1" type="noConversion"/>
  </si>
  <si>
    <t>이광일(퇴직)</t>
    <phoneticPr fontId="1" type="noConversion"/>
  </si>
  <si>
    <t>신규</t>
  </si>
  <si>
    <t>Reference Model of a Factory Energy Management System</t>
  </si>
  <si>
    <t>SG5 Q6</t>
  </si>
  <si>
    <t xml:space="preserve">공장에서 소비되는 에너지를 효율적으로 관리하기 위해 운영되는 공장 에너지 관리 시스템에 대한 참조 모델을 제시한다. 공장 에너지 관리 시스템은 데이터 수집 및 제어, 데이터 처리 및 분석, 에너지 서비스, 시스템 관리, 보안과 같은 기능을 제공해야 한다. 공장 에너지 관리 시스템은 공장의 운영 상황 및 환경에 따라 클라우드 컴퓨팅 서비스로 제공되거나 현장에서 운영될 수 있다. </t>
  </si>
  <si>
    <t>김말희</t>
  </si>
  <si>
    <t>ITU-T L.1260</t>
    <phoneticPr fontId="1" type="noConversion"/>
  </si>
  <si>
    <t>에디터(김말희)</t>
    <phoneticPr fontId="1" type="noConversion"/>
  </si>
  <si>
    <t>1. FEMS system operation techniques for independent information processing and integrated processing analysis when necessary</t>
    <phoneticPr fontId="1" type="noConversion"/>
  </si>
  <si>
    <t>1. 국내</t>
    <phoneticPr fontId="1" type="noConversion"/>
  </si>
  <si>
    <t>1. 김말희</t>
    <phoneticPr fontId="1" type="noConversion"/>
  </si>
  <si>
    <t>1. 이상우</t>
    <phoneticPr fontId="1" type="noConversion"/>
  </si>
  <si>
    <t>1. METHOD AND APPARATUS FOR AUTHENTICATING GROUP DRIVING OF MOVING OBJECT</t>
    <phoneticPr fontId="1" type="noConversion"/>
  </si>
  <si>
    <t>Data processing and management framework for IoT and smart cities and communities</t>
  </si>
  <si>
    <t>IoT 및 스마트 시티를 위한 데이터 처리 및 관리 프레임워크를 다룬다.</t>
  </si>
  <si>
    <t>정양재, 김법균</t>
  </si>
  <si>
    <t>1. APPARATUS AND METHOD FOR PROVIDING WIDE-AREA PRECISION AGRICULTURE SERVICE BASED ON COLLABORATION BETWEEN HETEROGENEOUS DRONES
2. METHOD AND APPARATUS FOR REGISTERING METADATA OF DRONE IMAGE</t>
  </si>
  <si>
    <t>1. 정양재
2. 김법균</t>
  </si>
  <si>
    <t>Metadata for camera sensing information of autonomous mobile IoT devices</t>
  </si>
  <si>
    <t>자율 이동 IoT 장치용 카메라 센성 정보 메타데이터의 규격을 다룬다</t>
  </si>
  <si>
    <t>김법균</t>
  </si>
  <si>
    <t>3차원 모델기반 모니터링서비스의  요기능 및 요구사항을 제안한다.</t>
  </si>
  <si>
    <t xml:space="preserve">유동완, 김성한, 이문수 </t>
  </si>
  <si>
    <t>IEEE Recommended Practice for Information technology-- Telecommunications and information exchange between systems-- Local and metropolitan area networks-- Specific requirements Part 15.5: Mesh Topology Capability in Wireless Personal Area Networks (WPANs)</t>
  </si>
  <si>
    <t>IEEE Std 802.15.5™-2009</t>
  </si>
  <si>
    <t>본 표준은 무선 개인 영역 네트워크(WPAN)에서 메시 토폴로지 기능을 구현하기 위한 문서이다. 이 메시 토폴로지는 네트워크의 확장성과 신뢰성을 높이는 데 중요한 구조로, 이 표준은 WPAN의 특성에 맞는 라우팅 프로토콜, 네트워크 관리, 에너지 효율성 방안을 포함한다.</t>
  </si>
  <si>
    <t>전영애, 이성희, 최상성</t>
  </si>
  <si>
    <t>IEEE Standard for
Local and metropolitan area networks—
Part 15.4: Low-Rate Wireless Personal Area
Networks (LR-WPANs)
Amendment 6: TV White Space Between 54 MHz and 862 MHz Physical Layer</t>
  </si>
  <si>
    <t>IEEE Std 802.15.4m™-2014</t>
  </si>
  <si>
    <t>본 표준은 저전력, 저주파 무선 통신을 위한 확장된 기능을 제공하며, TVWS Multichannel Cluster Tree PANs (TMCTP)의 관리 및 유지를 위한 메커니즘을 포함한다.</t>
  </si>
  <si>
    <t>전영애, 오미경, 신철호, 최상성</t>
  </si>
  <si>
    <t>IEEE Recommended Practice for Routing Packets in IEEE 802.15.4™ Dynamically Changing Wireless Networks</t>
  </si>
  <si>
    <t>IEEE Std 802.15.10™-2017</t>
  </si>
  <si>
    <t xml:space="preserve">본 표준은 IEEE 802.15.4™ 동적으로 변화하는 무선 네트워크에서 패킷 라우팅에 대한 것으로 IEEE 802.15.4 네트워크 내에서 데이터 패킷을 효과적으로 라우팅하기 위한 가이드라인을 제공한다. </t>
  </si>
  <si>
    <t>전영애, 김재환, 이상재, 최상성</t>
  </si>
  <si>
    <t>Data management interfaces for intelligent edge computing-based flowing-water smart aquaculture system</t>
  </si>
  <si>
    <t>ITU-T Q.5030</t>
  </si>
  <si>
    <t>개발된 표준문서는 지능형 엣지 컴퓨팅 기반의 유수식 스마트 양식 시스템을 위한 데이터 관리 인터페이스를 정의. 데이터 관리 인터페이스는 데이터 자원과 데이터 처리에 대한 인터페이스를 포함. 데이터 자원은 어떤 데이터가 무엇을 위한 것인지를 결정하는 데 사용될 수 있음. 데이터 처리 인터페이스는 데이터 생성, 검색, 업데이트, 삭제 등을 포함하는 웹 기반 애플리케이션 프로그래밍 인터페이스(API)를 정의.</t>
  </si>
  <si>
    <t>정재영, 김준규, 조성균</t>
  </si>
  <si>
    <t>프로젝트리더(정재영)</t>
  </si>
  <si>
    <t>해수부</t>
  </si>
  <si>
    <t>Data management interfaces in digital twin smart aquaculture system with intelligent edge computing</t>
  </si>
  <si>
    <t>ITU-T Q.5029</t>
  </si>
  <si>
    <t>지능형 엣지 컴퓨팅 기반 디지털 트윈 스마트 양식 서비스를 위한 데이터 관리 인터페이스를 정의함. 데이터 관리 인터페이스에는 데이터 리소스와 데이터 처리를 위한 인터페이스가 포함. 데이터 리소스는 데이터의 용도를 결정하며, 양식장에서 환경과 성장 상태를 확인하는 데이터를 처리하기 위하여, 데이터 생성, 검색, 업데이트 및 삭제를 포함한 웹 기반 애플리케이션 프로그래밍 인터페이스 (API)를 정의함</t>
  </si>
  <si>
    <t>김준규, 조성균</t>
  </si>
  <si>
    <t>에디터 (김준규)</t>
  </si>
  <si>
    <t>ITU-T Y.4602</t>
    <phoneticPr fontId="1" type="noConversion"/>
  </si>
  <si>
    <t>ITU-T Y.4604</t>
    <phoneticPr fontId="1" type="noConversion"/>
  </si>
  <si>
    <t>에디터(정양재)</t>
    <phoneticPr fontId="1" type="noConversion"/>
  </si>
  <si>
    <t>에디터(김법균)</t>
    <phoneticPr fontId="1" type="noConversion"/>
  </si>
  <si>
    <t>IEEE</t>
    <phoneticPr fontId="1" type="noConversion"/>
  </si>
  <si>
    <t>ITU-T Y.IoT-3DMS</t>
    <phoneticPr fontId="1" type="noConversion"/>
  </si>
  <si>
    <t>Requirements and functional capabilities for three-dimensional model based monitoring service</t>
    <phoneticPr fontId="1" type="noConversion"/>
  </si>
  <si>
    <t>에디터(유동완)</t>
    <phoneticPr fontId="1" type="noConversion"/>
  </si>
  <si>
    <t>창의원천연구본부</t>
  </si>
  <si>
    <t>Big data - Functional requirements of data broker for collaboration among data brokers</t>
    <phoneticPr fontId="1" type="noConversion"/>
  </si>
  <si>
    <t>ITU-T Y.cdb-reqts</t>
    <phoneticPr fontId="1" type="noConversion"/>
  </si>
  <si>
    <t>데이터 공급자들의 메타데이터 공유와 변화관리를 지원하기 위한 데이터 브로커의 기능 요구사항과 유즈케이스 정의</t>
    <phoneticPr fontId="1" type="noConversion"/>
  </si>
  <si>
    <t>원희선, 하수욱, 이강찬</t>
    <phoneticPr fontId="1" type="noConversion"/>
  </si>
  <si>
    <t>원희선</t>
    <phoneticPr fontId="1" type="noConversion"/>
  </si>
  <si>
    <t>1. 오픈 데이터 생태계를 위한 데이터 프로파일 관리 및 공유 방법
2. 	오픈 데이터 생태계에서의 다중 데이터 허브 간 데이터 실시간 동기화 시스템 및 방법</t>
    <phoneticPr fontId="1" type="noConversion"/>
  </si>
  <si>
    <t>1. 원희선
2. 원희선</t>
    <phoneticPr fontId="1" type="noConversion"/>
  </si>
  <si>
    <t>Overview of standardization and open source activities on cloud computing management and production operation</t>
    <phoneticPr fontId="1" type="noConversion"/>
  </si>
  <si>
    <t>ITU-T Y.sup.ccos</t>
    <phoneticPr fontId="1" type="noConversion"/>
  </si>
  <si>
    <t>클라우드 컴퓨팅 관리 및 운영 관련 표준과 오픈소스 활동을 소개하고, 각 분야의 협력 가능성을 탐색함</t>
    <phoneticPr fontId="1" type="noConversion"/>
  </si>
  <si>
    <t>Data handling - Framework and functional requirements of data governance in the big data ecosystem</t>
    <phoneticPr fontId="1" type="noConversion"/>
  </si>
  <si>
    <t>데이터 거버넌스를 위한 프레임워크 및 기능 요구사항 표준 신규 개발 제안</t>
    <phoneticPr fontId="1" type="noConversion"/>
  </si>
  <si>
    <t>Big Data - Overview of data profiling</t>
    <phoneticPr fontId="1" type="noConversion"/>
  </si>
  <si>
    <t>데이터 프로파일의 개념과 구조, 요구사항, 유스케이스 신규 개발 제안</t>
    <phoneticPr fontId="1" type="noConversion"/>
  </si>
  <si>
    <t>에디터(정혁)</t>
  </si>
  <si>
    <t>에디터(정혁)</t>
    <phoneticPr fontId="1" type="noConversion"/>
  </si>
  <si>
    <t>에디터(이승욱)</t>
  </si>
  <si>
    <t>에디터(이승욱)</t>
    <phoneticPr fontId="1" type="noConversion"/>
  </si>
  <si>
    <t>에디터(이범렬)</t>
    <phoneticPr fontId="1" type="noConversion"/>
  </si>
  <si>
    <t>IEEE 3079.3 TG 의장(이승욱)</t>
    <phoneticPr fontId="1" type="noConversion"/>
  </si>
  <si>
    <t>김대원,오수철, 김선욱,김성운</t>
  </si>
  <si>
    <t xml:space="preserve">김대원, 김선욱, 차재근 </t>
  </si>
  <si>
    <t>김대원, 김선욱, 최현화, 장수민</t>
  </si>
  <si>
    <t xml:space="preserve">김대원, 김선욱 </t>
  </si>
  <si>
    <t>오명훈, 김대원, 오병택, 김선욱, 오수철, 김성운</t>
  </si>
  <si>
    <t>Audio coding for machine</t>
  </si>
  <si>
    <t>원격 협업 환경에서 기계 임무를 효율적으로 처리하기 위한 음향 압축 표준 개발을 목표로, 인간의 인지 능력을 초과하는 음향 데이터의 활용 방안과 압축 방식에 대한 기술 탐색 진행 중</t>
  </si>
  <si>
    <t>장인선,조병호,박수영</t>
  </si>
  <si>
    <t>MPEG-AI part 1: Visions and scinarios</t>
  </si>
  <si>
    <t>ISO 23888-1</t>
  </si>
  <si>
    <t>SC29 WG2</t>
  </si>
  <si>
    <t>MPEG-AI 표준 구성 및 각 구성에 대한 사용 어플리케이션에 대해 정의</t>
  </si>
  <si>
    <t>이진영, 정원식</t>
  </si>
  <si>
    <t>이진영</t>
  </si>
  <si>
    <t>ISO/IEC 23090-29</t>
  </si>
  <si>
    <t>MPEG-AI part 2: Video coding for Machine</t>
  </si>
  <si>
    <t>ISO 23888-2</t>
  </si>
  <si>
    <t>기계간 통신을 위한 인공 지능 기반 부호화 기술 개발</t>
  </si>
  <si>
    <t>추현곤, 이진영, 정원식</t>
  </si>
  <si>
    <t>MPEG-AI part 3: Optimization of encoders and receiving systems for machine analysis of coded video content</t>
  </si>
  <si>
    <t>ISO 23888-3</t>
  </si>
  <si>
    <t>머신 소비를 위한 송신기 최적화 및 수신기 처리 기술에 대한 표준 리포트 기술 개발</t>
  </si>
  <si>
    <t>정순흥, 곽상운</t>
  </si>
  <si>
    <t>ISO 23888-4</t>
  </si>
  <si>
    <t>기계간 통신을 위해 엣지 단과 클라우드 서버 단 사이의 머신 특징을 송수신 하기 위한 부호화 기술 개발</t>
  </si>
  <si>
    <t>MPEG-I Part 23: MPEG immersive video</t>
  </si>
  <si>
    <t>ISO 23093-23</t>
  </si>
  <si>
    <t>몰입형 비디오를 위한 전송 부호화 기술 표준 기술 개발</t>
  </si>
  <si>
    <t>MPEG Radial Neural Compression</t>
  </si>
  <si>
    <t>미정</t>
  </si>
  <si>
    <t>3차원 뉴럴 공간 표현을 위한 부호화 기술 개발</t>
  </si>
  <si>
    <t>MPEG-IoMT Part 6: Media data formats and API for distributed AI processing</t>
  </si>
  <si>
    <t>ISO 23093-6</t>
  </si>
  <si>
    <t>분산형 AI 처리를 위한 미디어 데이터 포맷 및 API 기술 표준화</t>
  </si>
  <si>
    <t>MPEG Video-based dynamic mesh coding</t>
  </si>
  <si>
    <t>Dynaminc Mesh Coding 부호화 표준</t>
  </si>
  <si>
    <t>임성용, 남다윤</t>
  </si>
  <si>
    <t>MPEG-I Part 9: Geometry-based Point Cloud Compression</t>
  </si>
  <si>
    <t>기하기반 3차원 점분포에 대한 전송 부호화 기술 개발</t>
  </si>
  <si>
    <t>IEC 63203-301-1</t>
    <phoneticPr fontId="1" type="noConversion"/>
  </si>
  <si>
    <t>Wearable electronic devices and technologies - Part 30X-X:  Measuring methods of the optical properties of display color filter films</t>
  </si>
  <si>
    <t>TC124 WG3</t>
  </si>
  <si>
    <t>본 표준은 착용형 기기 및 기술에서 착용형 제품을 위한 컬러필러 필름에 대한 시험 방법에 대한 표준 문서임.</t>
  </si>
  <si>
    <t>안성덕</t>
  </si>
  <si>
    <t>Wearable electronic devices and technologies - Part 40X-X: Test method of Flexible and Stretchable Mechanomyography (MMG) sensors</t>
  </si>
  <si>
    <t>본 표준은 착용형 기기 및 기술에서 착용형 제품을 위한 신축형 근진동 센서에 대한 시험 방법에 대한 표준 문서임.</t>
  </si>
  <si>
    <t>에디터(안성덕)</t>
    <phoneticPr fontId="1" type="noConversion"/>
  </si>
  <si>
    <t>TC124 WG3 의장(안성덕)</t>
    <phoneticPr fontId="1" type="noConversion"/>
  </si>
  <si>
    <t>Service Application Programming Interfaces (APIs) for Digital Human Authoring and Visualization</t>
  </si>
  <si>
    <t>디지털휴먼의 생성하고 가시화하는데 필요한 표준 서비스 프로토콜 API 표준 제정</t>
  </si>
  <si>
    <t>이승욱</t>
  </si>
  <si>
    <t>Gesture-based interface across devices and methods-part 62: multi-point gestures for screen readers.</t>
  </si>
  <si>
    <t>ISO/IEC 30113-62</t>
  </si>
  <si>
    <t>SC35</t>
  </si>
  <si>
    <t>스크린리더에서 사용되는 멀티포인트 제스처를 정의하고 용례를 제시함</t>
  </si>
  <si>
    <t>정혁</t>
  </si>
  <si>
    <t>인공지능 기술 기반 게임 콘텐츠 생성 검증 자동화를 위해 기술 신뢰성이 향상된 범용적인 표준화 프로세스를 마련하고, 지능형 게임 제작 검증 파이프라인 표준화 기반 기술 보급 및 정착을 통해 안정적 중소 게임 기업 지원 방안을 확보</t>
  </si>
  <si>
    <t>2016 Intelligent transport systems - Indoor navigation for personal and vehicle ITS station - Part 3: Requirements and specification for indoor positioning reference data</t>
  </si>
  <si>
    <t>ISO 17438-3</t>
  </si>
  <si>
    <t>개발된 표준문서는 실내 내비게이션 등에서 사용될 수 있는 측위참조데이터에 대한 명세를 정의함</t>
  </si>
  <si>
    <t>에디터(유재준)</t>
    <phoneticPr fontId="1" type="noConversion"/>
  </si>
  <si>
    <t>에디터(최미란)</t>
    <phoneticPr fontId="1" type="noConversion"/>
  </si>
  <si>
    <t>에디터(유태완)</t>
    <phoneticPr fontId="1" type="noConversion"/>
  </si>
  <si>
    <t>에디터(원희선)</t>
    <phoneticPr fontId="1" type="noConversion"/>
  </si>
  <si>
    <t>Test method of semiconductor photon sources incorporating human factors for wearable equipment</t>
  </si>
  <si>
    <t>IEC 63350-x</t>
  </si>
  <si>
    <t>본 표준은 메타버스 응용이 가능한 반도체 기반 광원소자의 특성 평가에 대한 표준 문서임</t>
  </si>
  <si>
    <t>문제현</t>
  </si>
  <si>
    <t>에디터(문제현)</t>
    <phoneticPr fontId="1" type="noConversion"/>
  </si>
  <si>
    <t>에디터(신성필)</t>
    <phoneticPr fontId="1" type="noConversion"/>
  </si>
  <si>
    <t>에디터(이원석)</t>
    <phoneticPr fontId="1" type="noConversion"/>
  </si>
  <si>
    <t xml:space="preserve"> 에디터(박정수), 에디터(최영환)</t>
    <phoneticPr fontId="1" type="noConversion"/>
  </si>
  <si>
    <t>에디터(박정수), 에디터((최윤철)</t>
    <phoneticPr fontId="1" type="noConversion"/>
  </si>
  <si>
    <t>에디터(박정수)</t>
    <phoneticPr fontId="1" type="noConversion"/>
  </si>
  <si>
    <t>에디터(홍정하)</t>
    <phoneticPr fontId="1" type="noConversion"/>
  </si>
  <si>
    <t>ISO/IEC 27551</t>
    <phoneticPr fontId="1" type="noConversion"/>
  </si>
  <si>
    <t>ISO 23644</t>
    <phoneticPr fontId="1" type="noConversion"/>
  </si>
  <si>
    <t>ITU-T X.1213</t>
    <phoneticPr fontId="1" type="noConversion"/>
  </si>
  <si>
    <t>ITU-T Supplement X.sup29</t>
    <phoneticPr fontId="1" type="noConversion"/>
  </si>
  <si>
    <t>ITU-T X.1369</t>
    <phoneticPr fontId="1" type="noConversion"/>
  </si>
  <si>
    <t>ITU-T X.1145</t>
    <phoneticPr fontId="1" type="noConversion"/>
  </si>
  <si>
    <t>ITU-T X.1146</t>
    <phoneticPr fontId="1" type="noConversion"/>
  </si>
  <si>
    <t>ITU-T Supplement X.Suppl.22</t>
    <phoneticPr fontId="1" type="noConversion"/>
  </si>
  <si>
    <t>ITU-T X.1258</t>
    <phoneticPr fontId="1" type="noConversion"/>
  </si>
  <si>
    <t>ITU-T X.1192</t>
    <phoneticPr fontId="1" type="noConversion"/>
  </si>
  <si>
    <t>ITU-T Supplement X.Suppl.17</t>
    <phoneticPr fontId="1" type="noConversion"/>
  </si>
  <si>
    <t>ITU-T  X.1162</t>
    <phoneticPr fontId="1" type="noConversion"/>
  </si>
  <si>
    <t xml:space="preserve">ITU-T G.873.1 Cor. 1 </t>
    <phoneticPr fontId="1" type="noConversion"/>
  </si>
  <si>
    <t>ITU-T Supplement G.sup7</t>
    <phoneticPr fontId="1" type="noConversion"/>
  </si>
  <si>
    <t>ITU-T G.8131/Y.1382</t>
    <phoneticPr fontId="1" type="noConversion"/>
  </si>
  <si>
    <t>ITU-T G.873.2 Ed. 2.0</t>
    <phoneticPr fontId="1" type="noConversion"/>
  </si>
  <si>
    <t>ITU-T G.808</t>
    <phoneticPr fontId="1" type="noConversion"/>
  </si>
  <si>
    <t>ITU-T G.8132/Y.1383</t>
    <phoneticPr fontId="1" type="noConversion"/>
  </si>
  <si>
    <t>ItU-T G.808.2 Ed. 2.0</t>
    <phoneticPr fontId="1" type="noConversion"/>
  </si>
  <si>
    <t>ITU-T Supplement G.sup66</t>
    <phoneticPr fontId="1" type="noConversion"/>
  </si>
  <si>
    <t>ITU-T G.698.3</t>
    <phoneticPr fontId="1" type="noConversion"/>
  </si>
  <si>
    <t>ITU-T X.1163</t>
    <phoneticPr fontId="1" type="noConversion"/>
  </si>
  <si>
    <t>ITU-T Supplement X.Suppl.21</t>
    <phoneticPr fontId="1" type="noConversion"/>
  </si>
  <si>
    <t>ITU-T X.1470</t>
    <phoneticPr fontId="1" type="noConversion"/>
  </si>
  <si>
    <t>ITU-T X.1452</t>
    <phoneticPr fontId="1" type="noConversion"/>
  </si>
  <si>
    <t>ITU-T X.1149</t>
    <phoneticPr fontId="1" type="noConversion"/>
  </si>
  <si>
    <t>ITU-T X.srgsc</t>
    <phoneticPr fontId="1" type="noConversion"/>
  </si>
  <si>
    <t>ITU-T X.srgsdcs</t>
    <phoneticPr fontId="1" type="noConversion"/>
  </si>
  <si>
    <t>ITU-T G.7710</t>
    <phoneticPr fontId="1" type="noConversion"/>
  </si>
  <si>
    <t xml:space="preserve">ITU-R 218-1/4 </t>
    <phoneticPr fontId="1" type="noConversion"/>
  </si>
  <si>
    <t>ITU-R M.2160</t>
    <phoneticPr fontId="1" type="noConversion"/>
  </si>
  <si>
    <t>On-time forwarding with Push-In First-Out (PIFO) queue</t>
  </si>
  <si>
    <t>draft-ryoo-detnet-ontime-forwarding</t>
  </si>
  <si>
    <t>PIFO 큐를 이용하여 종단간 최소 및 최대 지연 요구사항을 만족하도록 패킷을 포워딩하기 위한 시간확정형 네트워킹 데이터 평면 및 컨트롤러 평면의 동작을 정의함</t>
  </si>
  <si>
    <t>유연철</t>
  </si>
  <si>
    <t>에디터(유연철)</t>
  </si>
  <si>
    <t>PR20220236</t>
  </si>
  <si>
    <t>리소스 기반 온타임 패킷 전달 방법</t>
  </si>
  <si>
    <t>IEC 61000-4-20 waveguides</t>
    <phoneticPr fontId="1" type="noConversion"/>
  </si>
  <si>
    <t>Methodologies for assessing or predicting spectrum availability</t>
  </si>
  <si>
    <t>SG1</t>
  </si>
  <si>
    <t>본 보고서는 스펙트럼 사용 형식( 면허대역의 배타적사용, 면허대역의 공유적사용, 비면허대역의 공유적사용)에 따라 스펙트럼의 가용성을 평가 및 예측하는 방법론에 대하여 기술한다.</t>
  </si>
  <si>
    <t>윤종훈, 권혜연, 박승근</t>
  </si>
  <si>
    <t xml:space="preserve">정상진, 전홍석 </t>
    <phoneticPr fontId="1" type="noConversion"/>
  </si>
  <si>
    <t>Interoperability of capability units for manufacturing application solutions - Part 2: Capability templates and software unit cataloguing</t>
    <phoneticPr fontId="1" type="noConversion"/>
  </si>
  <si>
    <r>
      <rPr>
        <sz val="12"/>
        <rFont val="맑은 고딕"/>
        <family val="3"/>
        <charset val="129"/>
      </rPr>
      <t>PR20220133</t>
    </r>
    <r>
      <rPr>
        <sz val="12"/>
        <rFont val="맑은 고딕"/>
        <family val="3"/>
        <charset val="129"/>
        <scheme val="minor"/>
      </rPr>
      <t>(KR/US)</t>
    </r>
  </si>
  <si>
    <r>
      <t>IEEE Std 802.11bb</t>
    </r>
    <r>
      <rPr>
        <vertAlign val="superscript"/>
        <sz val="12"/>
        <rFont val="맑은 고딕"/>
        <family val="3"/>
        <charset val="129"/>
        <scheme val="minor"/>
      </rPr>
      <t>TM</t>
    </r>
    <r>
      <rPr>
        <sz val="12"/>
        <rFont val="맑은 고딕"/>
        <family val="3"/>
        <charset val="129"/>
        <scheme val="minor"/>
      </rPr>
      <t xml:space="preserve"> - 2023</t>
    </r>
  </si>
  <si>
    <r>
      <t>IEEE Std 802.15.13</t>
    </r>
    <r>
      <rPr>
        <vertAlign val="superscript"/>
        <sz val="12"/>
        <rFont val="맑은 고딕"/>
        <family val="3"/>
        <charset val="129"/>
        <scheme val="minor"/>
      </rPr>
      <t>TM</t>
    </r>
    <r>
      <rPr>
        <sz val="12"/>
        <rFont val="맑은 고딕"/>
        <family val="3"/>
        <charset val="129"/>
        <scheme val="minor"/>
      </rPr>
      <t xml:space="preserve"> - 2023</t>
    </r>
  </si>
  <si>
    <r>
      <t>IEEE Std 802.15.7</t>
    </r>
    <r>
      <rPr>
        <vertAlign val="superscript"/>
        <sz val="12"/>
        <rFont val="맑은 고딕"/>
        <family val="3"/>
        <charset val="129"/>
        <scheme val="minor"/>
      </rPr>
      <t>TM</t>
    </r>
    <r>
      <rPr>
        <sz val="12"/>
        <rFont val="맑은 고딕"/>
        <family val="3"/>
        <charset val="129"/>
        <scheme val="minor"/>
      </rPr>
      <t xml:space="preserve"> - 2011</t>
    </r>
  </si>
  <si>
    <t>인간-로봇 상호 작용 서비스 구성 요소와 서비스 애플리케이션 간에 교환되는 메시지 및 데이터를 처리할 수 있는 프레임워크를 정의함. 여기에는 프레임워크의 PIM(Platform-Independent Model)이 포함됨.</t>
    <phoneticPr fontId="1" type="noConversion"/>
  </si>
  <si>
    <r>
      <t>1</t>
    </r>
    <r>
      <rPr>
        <sz val="12"/>
        <rFont val="맑은 고딕"/>
        <family val="2"/>
        <charset val="129"/>
        <scheme val="minor"/>
      </rPr>
      <t xml:space="preserve">.PR20200560(KR/US)
</t>
    </r>
    <r>
      <rPr>
        <sz val="12"/>
        <rFont val="맑은 고딕"/>
        <family val="3"/>
        <charset val="129"/>
        <scheme val="minor"/>
      </rPr>
      <t>2.</t>
    </r>
    <r>
      <rPr>
        <sz val="12"/>
        <rFont val="맑은 고딕"/>
        <family val="2"/>
        <charset val="129"/>
        <scheme val="minor"/>
      </rPr>
      <t xml:space="preserve">PR20210161(KR/US)
</t>
    </r>
    <r>
      <rPr>
        <sz val="12"/>
        <rFont val="맑은 고딕"/>
        <family val="3"/>
        <charset val="129"/>
        <scheme val="minor"/>
      </rPr>
      <t>3.</t>
    </r>
    <r>
      <rPr>
        <sz val="12"/>
        <rFont val="맑은 고딕"/>
        <family val="2"/>
        <charset val="129"/>
        <scheme val="minor"/>
      </rPr>
      <t xml:space="preserve">PR20220644(KR/US)
</t>
    </r>
    <r>
      <rPr>
        <sz val="12"/>
        <rFont val="맑은 고딕"/>
        <family val="3"/>
        <charset val="129"/>
        <scheme val="minor"/>
      </rPr>
      <t>4</t>
    </r>
    <r>
      <rPr>
        <sz val="12"/>
        <rFont val="맑은 고딕"/>
        <family val="2"/>
        <charset val="129"/>
        <scheme val="minor"/>
      </rPr>
      <t>.PR20220391(KR/US)</t>
    </r>
    <phoneticPr fontId="1" type="noConversion"/>
  </si>
  <si>
    <r>
      <t>Standard for Ethernet Amendment:</t>
    </r>
    <r>
      <rPr>
        <sz val="12"/>
        <rFont val="Wingdings"/>
        <family val="2"/>
        <charset val="2"/>
      </rPr>
      <t></t>
    </r>
    <r>
      <rPr>
        <sz val="12"/>
        <rFont val="맑은 고딕"/>
        <family val="2"/>
        <charset val="129"/>
        <scheme val="minor"/>
      </rPr>
      <t xml:space="preserve">
Bidirectional 10 Gb/s, 25 Gb/s, and 50 Gb/s Optical Access PHYs</t>
    </r>
    <phoneticPr fontId="1" type="noConversion"/>
  </si>
  <si>
    <t>개수</t>
    <phoneticPr fontId="1" type="noConversion"/>
  </si>
  <si>
    <t>ICT전략연구소</t>
    <phoneticPr fontId="1" type="noConversion"/>
  </si>
  <si>
    <t>표준기구</t>
    <phoneticPr fontId="1" type="noConversion"/>
  </si>
  <si>
    <t>ETRI 에디터(예정포함)</t>
    <phoneticPr fontId="1" type="noConversion"/>
  </si>
  <si>
    <t>전략기술 분야</t>
    <phoneticPr fontId="1" type="noConversion"/>
  </si>
  <si>
    <t>표준특허 개수</t>
    <phoneticPr fontId="1" type="noConversion"/>
  </si>
  <si>
    <t>3GPP: 6G RAN L1/L2/L3 specifications</t>
    <phoneticPr fontId="1" type="noConversion"/>
  </si>
  <si>
    <t xml:space="preserve">3GPP: 6G RAN L1/L2/L3 specifications </t>
    <phoneticPr fontId="1" type="noConversion"/>
  </si>
  <si>
    <t>ITU-T G.7710 Amd.2</t>
    <phoneticPr fontId="1" type="noConversion"/>
  </si>
  <si>
    <t>Electromagnetic compatibility (EMC) - Part 4-23: Testing and measurement techniques - Test methods for protective devices for HEMP and other radiated disturbances</t>
  </si>
  <si>
    <t>미정</t>
    <phoneticPr fontId="1" type="noConversion"/>
  </si>
  <si>
    <t>SG13 Q19</t>
    <phoneticPr fontId="1" type="noConversion"/>
  </si>
  <si>
    <t>SC29 WG2 의장(이진영)</t>
    <phoneticPr fontId="1" type="noConversion"/>
  </si>
  <si>
    <t>SC29 WG7 의장(이진영)</t>
    <phoneticPr fontId="1" type="noConversion"/>
  </si>
  <si>
    <t>SC29 WG4 의장(이진영)</t>
    <phoneticPr fontId="1" type="noConversion"/>
  </si>
  <si>
    <t>이광순, 오관정, 정준영</t>
    <phoneticPr fontId="1" type="noConversion"/>
  </si>
  <si>
    <t>이수현,, 남제호</t>
    <phoneticPr fontId="1" type="noConversion"/>
  </si>
  <si>
    <t xml:space="preserve">1. 통합 음성/음악 신호 부/복호화 방법 및 장치
2. 오디오 통합 부호화기에서 모드변환을 위한 윈도우 시퀀스(window sequence) 처리 방법
3. MDCT기반의 오디오 코더와 이종의 음성/오디오 코더 간의 통합구조에서 부/복호화 변환방법 및 장치
</t>
    <phoneticPr fontId="1" type="noConversion"/>
  </si>
  <si>
    <t>1. 중국
2. 미국
3. 미국</t>
    <phoneticPr fontId="1" type="noConversion"/>
  </si>
  <si>
    <t>1. 이태진
2. 백승권
3. 백승권</t>
    <phoneticPr fontId="1" type="noConversion"/>
  </si>
  <si>
    <t>1. 적응적 스캐닝을 이용한 동영상 부호화/복호화 장치 및 그 방법
2. 참조블록 파형정보를 이용한 화면내 예측 비디오 부호화 방법 및 장치
3. 영상 부호화/복호화 방법 및 장치
4. 화면내 예측 블록 경계 필터링을 이용한 부호화/복호화 방법 및 그 장치
5. 움직임 후보 유도 방법 및 장치
…</t>
    <phoneticPr fontId="1" type="noConversion"/>
  </si>
  <si>
    <t>1. 미국
2. 미국
3. 미국
4. 미국
5. 미국
…</t>
    <phoneticPr fontId="1" type="noConversion"/>
  </si>
  <si>
    <t>1. 서정일
2. 정세윤
3. 임성창
4. 이진호
5. 김휘용
…</t>
    <phoneticPr fontId="1" type="noConversion"/>
  </si>
  <si>
    <t>ISO/IEC 23888-2</t>
    <phoneticPr fontId="1" type="noConversion"/>
  </si>
  <si>
    <t>ISO/IEC 23888-4</t>
    <phoneticPr fontId="1" type="noConversion"/>
  </si>
  <si>
    <t>IEEE Std 3079.3-2023</t>
    <phoneticPr fontId="1" type="noConversion"/>
  </si>
  <si>
    <t>IEEE Std 3079.3.1-2025</t>
    <phoneticPr fontId="1" type="noConversion"/>
  </si>
  <si>
    <t>Framework for AI-based online games content quality assurance</t>
    <phoneticPr fontId="1" type="noConversion"/>
  </si>
  <si>
    <t>장성준, 양성일, 김대욱, 장시환</t>
    <phoneticPr fontId="1" type="noConversion"/>
  </si>
  <si>
    <t>Information technology — User interfaces — Describing whole-body movement sequences</t>
    <phoneticPr fontId="1" type="noConversion"/>
  </si>
  <si>
    <t>ISO/IEC 25421</t>
    <phoneticPr fontId="1" type="noConversion"/>
  </si>
  <si>
    <t>몸 움직임을 정의하는 방법을 규정함</t>
    <phoneticPr fontId="1" type="noConversion"/>
  </si>
  <si>
    <r>
      <rPr>
        <sz val="12"/>
        <rFont val="Tahoma"/>
        <family val="2"/>
        <charset val="1"/>
      </rPr>
      <t>﻿</t>
    </r>
    <r>
      <rPr>
        <sz val="12"/>
        <rFont val="맑은 고딕"/>
        <family val="3"/>
        <charset val="129"/>
        <scheme val="minor"/>
      </rPr>
      <t>Standard for a Framework for Evaluating the Quality of Digital Humans</t>
    </r>
    <phoneticPr fontId="1" type="noConversion"/>
  </si>
  <si>
    <t>High-level interoperability architecture for cross-platform metaverses</t>
    <phoneticPr fontId="1" type="noConversion"/>
  </si>
  <si>
    <t>SG16 Q21</t>
    <phoneticPr fontId="1" type="noConversion"/>
  </si>
  <si>
    <t>메타버스 플랫폼간 상호연동 상위 기능 구조 정의</t>
    <phoneticPr fontId="1" type="noConversion"/>
  </si>
  <si>
    <t>Service scenarios and high-level requirements for metaverse cross-platform interoperability</t>
    <phoneticPr fontId="1" type="noConversion"/>
  </si>
  <si>
    <t>메타버스 플랫폼 간 상호 운용성을 위한 서비스 시나리오 및 상위 요구 사항</t>
    <phoneticPr fontId="1" type="noConversion"/>
  </si>
  <si>
    <t>홍정하, 현욱, 허미영</t>
    <phoneticPr fontId="1" type="noConversion"/>
  </si>
  <si>
    <t>Requirements of Immersive Live Experience (ILE) services for persons with disabilities</t>
    <phoneticPr fontId="1" type="noConversion"/>
  </si>
  <si>
    <t>ITU-T H.ILE-PwD-req</t>
    <phoneticPr fontId="1" type="noConversion"/>
  </si>
  <si>
    <t>실감형 라이브 멀티미디어 서비스 제공시 장애인 접근성 지원 요구사항 정의</t>
    <phoneticPr fontId="1" type="noConversion"/>
  </si>
  <si>
    <t>Requirements and framework of immersive live experience (ILE) services using Integrated Sensing and Communication</t>
    <phoneticPr fontId="1" type="noConversion"/>
  </si>
  <si>
    <t>ITU-T H.ILE-ISAC-req</t>
    <phoneticPr fontId="1" type="noConversion"/>
  </si>
  <si>
    <t>ISAC을 이용한 실감형 라이브 서비스를 위한 요구사항 및 프레임워크 정의</t>
    <phoneticPr fontId="1" type="noConversion"/>
  </si>
  <si>
    <t>홍정하</t>
    <phoneticPr fontId="1" type="noConversion"/>
  </si>
  <si>
    <t>Framework and requirements of digital human access interfaces</t>
    <phoneticPr fontId="1" type="noConversion"/>
  </si>
  <si>
    <t>디지털 휴먼 액세스 인터페이스의 프레임워크 및 요구 사항 정의</t>
    <phoneticPr fontId="1" type="noConversion"/>
  </si>
  <si>
    <t>TC307 WG1</t>
    <phoneticPr fontId="1" type="noConversion"/>
  </si>
  <si>
    <t>SG13 Q14</t>
    <phoneticPr fontId="1" type="noConversion"/>
  </si>
  <si>
    <t>SC42 WG2</t>
    <phoneticPr fontId="1" type="noConversion"/>
  </si>
  <si>
    <t>TC80 WG17</t>
    <phoneticPr fontId="1" type="noConversion"/>
  </si>
  <si>
    <t>SC86C WG4</t>
    <phoneticPr fontId="1" type="noConversion"/>
  </si>
  <si>
    <t>SC29 WG5</t>
    <phoneticPr fontId="1" type="noConversion"/>
  </si>
  <si>
    <t>TG3 S33</t>
    <phoneticPr fontId="1" type="noConversion"/>
  </si>
  <si>
    <t>TG3 S34</t>
    <phoneticPr fontId="1" type="noConversion"/>
  </si>
  <si>
    <t>TC34 SC34A</t>
    <phoneticPr fontId="1" type="noConversion"/>
  </si>
  <si>
    <t>TC110 WG9</t>
    <phoneticPr fontId="1" type="noConversion"/>
  </si>
  <si>
    <t>TC110 WG7</t>
    <phoneticPr fontId="1" type="noConversion"/>
  </si>
  <si>
    <t>SG4 WRC-27</t>
    <phoneticPr fontId="1" type="noConversion"/>
  </si>
  <si>
    <t>TC77 SC77B</t>
    <phoneticPr fontId="1" type="noConversion"/>
  </si>
  <si>
    <t>TC47 WG6</t>
    <phoneticPr fontId="1" type="noConversion"/>
  </si>
  <si>
    <t>SG4 WRC-19</t>
    <phoneticPr fontId="1" type="noConversion"/>
  </si>
  <si>
    <t>TC184 SC4 WG15</t>
    <phoneticPr fontId="1" type="noConversion"/>
  </si>
  <si>
    <t>TC184 SC5 WG12</t>
    <phoneticPr fontId="1" type="noConversion"/>
  </si>
  <si>
    <t>TC184 SC5 WG4</t>
    <phoneticPr fontId="1" type="noConversion"/>
  </si>
  <si>
    <t>802 WG15 TG10</t>
    <phoneticPr fontId="1" type="noConversion"/>
  </si>
  <si>
    <t>802 WG15 TG4m</t>
    <phoneticPr fontId="1" type="noConversion"/>
  </si>
  <si>
    <t>802 WG15 TG5</t>
    <phoneticPr fontId="1" type="noConversion"/>
  </si>
  <si>
    <t>제정완료</t>
    <phoneticPr fontId="1" type="noConversion"/>
  </si>
  <si>
    <t>홍길동</t>
    <phoneticPr fontId="1" type="noConversion"/>
  </si>
  <si>
    <t>유</t>
  </si>
  <si>
    <t>기타</t>
    <phoneticPr fontId="1" type="noConversion"/>
  </si>
  <si>
    <t>무</t>
  </si>
  <si>
    <t>1. 미정</t>
    <phoneticPr fontId="1" type="noConversion"/>
  </si>
  <si>
    <t>표준특허 유무</t>
    <phoneticPr fontId="1" type="noConversion"/>
  </si>
  <si>
    <t>계획</t>
  </si>
  <si>
    <r>
      <t>특허상태(출원/등</t>
    </r>
    <r>
      <rPr>
        <sz val="12"/>
        <rFont val="맑은 고딕"/>
        <family val="3"/>
        <charset val="129"/>
        <scheme val="minor"/>
      </rPr>
      <t>록)</t>
    </r>
    <phoneticPr fontId="1" type="noConversion"/>
  </si>
  <si>
    <t>정상진, Tsutsui Akihiro</t>
    <phoneticPr fontId="1" type="noConversion"/>
  </si>
  <si>
    <t>Cloud Computing - functional requirements for adaptation of machine learning model</t>
    <phoneticPr fontId="1" type="noConversion"/>
  </si>
  <si>
    <t>ITU-T Y.AMLM-reqts</t>
    <phoneticPr fontId="1" type="noConversion"/>
  </si>
  <si>
    <t>클라우드컴퓨팅에서 ML 모델의 어뎁테이션을 위한 기능 요구사항</t>
    <phoneticPr fontId="1" type="noConversion"/>
  </si>
  <si>
    <t>인민교, 하수욱, 이강찬</t>
    <phoneticPr fontId="1" type="noConversion"/>
  </si>
  <si>
    <t>SG13 Q17 라포처(하수욱)</t>
    <phoneticPr fontId="1" type="noConversion"/>
  </si>
  <si>
    <t>무</t>
    <phoneticPr fontId="1" type="noConversion"/>
  </si>
  <si>
    <t>변경여부</t>
    <phoneticPr fontId="1" type="noConversion"/>
  </si>
  <si>
    <t>공간 맵 관리 지원을 위한 이동통신 네트워크 솔루션</t>
    <phoneticPr fontId="1" type="noConversion"/>
  </si>
  <si>
    <t>Information technology — Artificial intelligence — Overview of data profiles for analytics and ML</t>
    <phoneticPr fontId="1" type="noConversion"/>
  </si>
  <si>
    <t>ISO/IEC 25523</t>
    <phoneticPr fontId="1" type="noConversion"/>
  </si>
  <si>
    <t>데이터 분석 및 기계학습 과정에서의 데이터에 대한 각종 정보의 프로파일링 유형 및 표준화 필요성</t>
    <phoneticPr fontId="1" type="noConversion"/>
  </si>
  <si>
    <t>하수욱</t>
    <phoneticPr fontId="1" type="noConversion"/>
  </si>
  <si>
    <t>ITU-T Y.3601-rev</t>
    <phoneticPr fontId="1" type="noConversion"/>
  </si>
  <si>
    <t>Data handling – Functional requirements of collaborative data processing in data platform</t>
    <phoneticPr fontId="1" type="noConversion"/>
  </si>
  <si>
    <t>ITU-T Y.cdp-reqts</t>
    <phoneticPr fontId="1" type="noConversion"/>
  </si>
  <si>
    <t>데이터 플랫폼에서의 협업 개발, 관리를 위한 기능 요구사항</t>
    <phoneticPr fontId="1" type="noConversion"/>
  </si>
  <si>
    <t>N</t>
    <phoneticPr fontId="1" type="noConversion"/>
  </si>
  <si>
    <t>Framework for management of person-generated health record in digital health platforms</t>
    <phoneticPr fontId="1" type="noConversion"/>
  </si>
  <si>
    <t>ITU-T F.PGHR</t>
    <phoneticPr fontId="1" type="noConversion"/>
  </si>
  <si>
    <t>의료 기관 외부에서 수집된 PGHR을 보유하는 디지털 건강 플랫폼 내에서 개인 생성 건강 기록(PGHR)에 프레임워크와 요구사항 정의</t>
    <phoneticPr fontId="1" type="noConversion"/>
  </si>
  <si>
    <t>선경재, 김성혜</t>
    <phoneticPr fontId="1" type="noConversion"/>
  </si>
  <si>
    <t xml:space="preserve">SG21 부의장(강신각) </t>
    <phoneticPr fontId="1" type="noConversion"/>
  </si>
  <si>
    <t>Framework of Electrical Facility Management System for in Buildings</t>
    <phoneticPr fontId="1" type="noConversion"/>
  </si>
  <si>
    <t>ITU-T L.EF_mgmt</t>
    <phoneticPr fontId="1" type="noConversion"/>
  </si>
  <si>
    <t>SG5 Q11</t>
    <phoneticPr fontId="1" type="noConversion"/>
  </si>
  <si>
    <t>건물 내 전기설비의 상태를 관리하기 위한 관리시스템 프레임워크 정의</t>
    <phoneticPr fontId="1" type="noConversion"/>
  </si>
  <si>
    <t>정상진,안윤영,선경재,김성혜</t>
    <phoneticPr fontId="1" type="noConversion"/>
  </si>
  <si>
    <t xml:space="preserve">SG5 Q11 라포처(정상진) </t>
    <phoneticPr fontId="1" type="noConversion"/>
  </si>
  <si>
    <t>Framework for Safety Management and Fault Handling of UPS Systems with Li-Ion batteries</t>
    <phoneticPr fontId="1" type="noConversion"/>
  </si>
  <si>
    <t>ITU-T L.UPS_safety</t>
    <phoneticPr fontId="1" type="noConversion"/>
  </si>
  <si>
    <t>리튬배터리를 사용하는 UPS 시스템의 안전 관리를 위한 이상동작 제어 절차 정의</t>
    <phoneticPr fontId="1" type="noConversion"/>
  </si>
  <si>
    <t>안윤영,정상진,선경재,김성혜</t>
    <phoneticPr fontId="1" type="noConversion"/>
  </si>
  <si>
    <t>에디터(안윤영)</t>
    <phoneticPr fontId="1" type="noConversion"/>
  </si>
  <si>
    <t>ESS management system for extreme environmental conditions under climate change</t>
    <phoneticPr fontId="1" type="noConversion"/>
  </si>
  <si>
    <t>ITU-T L.ESS-extreme</t>
    <phoneticPr fontId="1" type="noConversion"/>
  </si>
  <si>
    <t>극한환경에서 ESS 안전 관리 및 제어를 위한 관리시스템 프레임워크 정의</t>
    <phoneticPr fontId="1" type="noConversion"/>
  </si>
  <si>
    <t>선경재,안윤영,정상진,김성혜</t>
    <phoneticPr fontId="1" type="noConversion"/>
  </si>
  <si>
    <t>Supplement to ITU-T Y.4607 - Use cases of interworking-based autonomous mobile robot services</t>
    <phoneticPr fontId="1" type="noConversion"/>
  </si>
  <si>
    <t>ITU-T Y.Sup.DRI-usecases</t>
    <phoneticPr fontId="1" type="noConversion"/>
  </si>
  <si>
    <t>SG20 Q1</t>
  </si>
  <si>
    <t>ITU-T Y.4607(배달로봇 연동 요구사항 국제표준)과 연계한 이동로봇 서비스 유스케이스를 제공하는 Supplement</t>
    <phoneticPr fontId="1" type="noConversion"/>
  </si>
  <si>
    <t>임정일,심태형</t>
    <phoneticPr fontId="1" type="noConversion"/>
  </si>
  <si>
    <t>Requirements of citiverse platform for smart sustainable cities and communities</t>
    <phoneticPr fontId="1" type="noConversion"/>
  </si>
  <si>
    <t>ITU-T Y.citiverse-reqts</t>
    <phoneticPr fontId="1" type="noConversion"/>
  </si>
  <si>
    <t>메타버스 기반의 도메인 서비스들을 citiverse 플랫폼 상에서 연결과 상호운용성을 제공하기 위한 서비스 시나리오 요구사항 정의</t>
    <phoneticPr fontId="1" type="noConversion"/>
  </si>
  <si>
    <t>김근영,선경재</t>
    <phoneticPr fontId="1" type="noConversion"/>
  </si>
  <si>
    <t>에디터(김근영, 선경재)</t>
    <phoneticPr fontId="1" type="noConversion"/>
  </si>
  <si>
    <t>OCF Resource Type Specification &amp; Device Specification for PV ststem</t>
    <phoneticPr fontId="1" type="noConversion"/>
  </si>
  <si>
    <t>ISO/IEC/FDIS 30186</t>
    <phoneticPr fontId="1" type="noConversion"/>
  </si>
  <si>
    <t>ISO/FDIS 9829</t>
    <phoneticPr fontId="1" type="noConversion"/>
  </si>
  <si>
    <t>Digital twin framework for manufacturing — Part 100: Use case on management of semiconductor ingot growth process</t>
    <phoneticPr fontId="1" type="noConversion"/>
  </si>
  <si>
    <t>ISO/TR 23247-100</t>
    <phoneticPr fontId="1" type="noConversion"/>
  </si>
  <si>
    <t>ITU-T H.862.8</t>
    <phoneticPr fontId="1" type="noConversion"/>
  </si>
  <si>
    <t>SG21 Q2</t>
    <phoneticPr fontId="1" type="noConversion"/>
  </si>
  <si>
    <t>ISO/IEC DTS 30180</t>
    <phoneticPr fontId="1" type="noConversion"/>
  </si>
  <si>
    <t>ISO/TS 9166</t>
    <phoneticPr fontId="1" type="noConversion"/>
  </si>
  <si>
    <t>SG20 의장(김형준)</t>
    <phoneticPr fontId="1" type="noConversion"/>
  </si>
  <si>
    <t>SG20 Q3 라포처(최영환)
SG20 의장(김형준)</t>
  </si>
  <si>
    <t>SG20 의장(김형준)
SG20 Q3 부라포처(최영환)</t>
  </si>
  <si>
    <t>PR20140359</t>
    <phoneticPr fontId="1" type="noConversion"/>
  </si>
  <si>
    <t>SG21 부의장(강신각)</t>
    <phoneticPr fontId="1" type="noConversion"/>
  </si>
  <si>
    <t>ITU-T F.748.42</t>
    <phoneticPr fontId="1" type="noConversion"/>
  </si>
  <si>
    <t>ITU-T Y.4708</t>
    <phoneticPr fontId="1" type="noConversion"/>
  </si>
  <si>
    <t>SG20 의장(김형준)
SG20 Q3 라포처(최영환)</t>
    <phoneticPr fontId="1" type="noConversion"/>
  </si>
  <si>
    <t>ITU-T Y.DT-SSC-CVP</t>
    <phoneticPr fontId="1" type="noConversion"/>
  </si>
  <si>
    <t>Functional architecture of IoT-based energy-saving service for smart buildings</t>
    <phoneticPr fontId="1" type="noConversion"/>
  </si>
  <si>
    <t>SG20 Q10</t>
    <phoneticPr fontId="1" type="noConversion"/>
  </si>
  <si>
    <t>Functional architecture of visualization system in digital twin for SSC&amp;C</t>
    <phoneticPr fontId="1" type="noConversion"/>
  </si>
  <si>
    <t>ITU-T Y.DT-VS-arch</t>
    <phoneticPr fontId="1" type="noConversion"/>
  </si>
  <si>
    <t>SG20 Q3</t>
    <phoneticPr fontId="1" type="noConversion"/>
  </si>
  <si>
    <t>스마트시티를 위한 디지털트윈에서의 시각화 시스템 기능구조</t>
    <phoneticPr fontId="1" type="noConversion"/>
  </si>
  <si>
    <t>Functional architecture of IoT for metaverse</t>
    <phoneticPr fontId="1" type="noConversion"/>
  </si>
  <si>
    <t>ITU-T Y.IoT-MV</t>
    <phoneticPr fontId="1" type="noConversion"/>
  </si>
  <si>
    <t>Interfaces for interaction in cloud virtual reality systems</t>
    <phoneticPr fontId="1" type="noConversion"/>
  </si>
  <si>
    <t>ITU-T H.CVR-IF</t>
    <phoneticPr fontId="1" type="noConversion"/>
  </si>
  <si>
    <t>SG21 Q9</t>
    <phoneticPr fontId="1" type="noConversion"/>
  </si>
  <si>
    <t>SG21 부의장(강신각)
SG21 Q9 부라포처(현욱)</t>
    <phoneticPr fontId="1" type="noConversion"/>
  </si>
  <si>
    <t>ITU-T Y.IoT-ESSB</t>
    <phoneticPr fontId="1" type="noConversion"/>
  </si>
  <si>
    <t>1. US
2. KR
3. KR</t>
    <phoneticPr fontId="1" type="noConversion"/>
  </si>
  <si>
    <t>1. 이연희
2. 김태환
3. 강현중</t>
    <phoneticPr fontId="1" type="noConversion"/>
  </si>
  <si>
    <t>1. SYSTEM AND METHOD FOR POLICY INTELLIGENCE SERVICE PROVISION BASED ON DIGITAL TWIN
2. SYSTEM FOR COLLECTING AND MANAGING PUBLIC STATISTICAL DATA IN A RESOURCE-CONSTRAINED ENVIRONMENT AND METHOD FOR COLLECTING AND MANAGING PUBLIC STATISTICAL DATA USING THEREOF
3. Method and System for Configuring Dynamic Execution Flows Based on a Publish/Subscribe Architecture</t>
    <phoneticPr fontId="1" type="noConversion"/>
  </si>
  <si>
    <t>Basic Framework for Motion Training Systems</t>
    <phoneticPr fontId="1" type="noConversion"/>
  </si>
  <si>
    <t>실가상 융합 환경에서의 모션 트레이닝 시스템 표준</t>
    <phoneticPr fontId="1" type="noConversion"/>
  </si>
  <si>
    <t>이범렬, 손욱호</t>
    <phoneticPr fontId="1" type="noConversion"/>
  </si>
  <si>
    <t xml:space="preserve">PR20250027KR
	PR20240933KR	</t>
    <phoneticPr fontId="1" type="noConversion"/>
  </si>
  <si>
    <t>향상된 적응적 메쉬 분할 방법 및 장치
동적 메쉬 부호화 성능 개선을 위한 적응적 메쉬 간략화 및 데이터 분할 방법</t>
    <phoneticPr fontId="1" type="noConversion"/>
  </si>
  <si>
    <t>미국, 국내</t>
    <phoneticPr fontId="1" type="noConversion"/>
  </si>
  <si>
    <t>임성용</t>
    <phoneticPr fontId="1" type="noConversion"/>
  </si>
  <si>
    <t>1.출원
2.출원
3.출원</t>
    <phoneticPr fontId="1" type="noConversion"/>
  </si>
  <si>
    <t>MPEG-I: Video-based dynamic mesh coding</t>
    <phoneticPr fontId="1" type="noConversion"/>
  </si>
  <si>
    <t>ISO 23093-29</t>
    <phoneticPr fontId="1" type="noConversion"/>
  </si>
  <si>
    <t>메쉬로 표현된 3D 미디어 데이터 포맷 및 API 기술 표준화</t>
    <phoneticPr fontId="1" type="noConversion"/>
  </si>
  <si>
    <t>임성용, 남다윤</t>
    <phoneticPr fontId="1" type="noConversion"/>
  </si>
  <si>
    <t>추현곤, 이진영, 이예지</t>
    <phoneticPr fontId="1" type="noConversion"/>
  </si>
  <si>
    <t>에디터(정세윤)</t>
    <phoneticPr fontId="1" type="noConversion"/>
  </si>
  <si>
    <t xml:space="preserve">1. 변환 손실 보상 기반 피쳐 맵 부복호화 방법  
2.신경망 기반의 다계층 특징맵 부호화 방법 및 장치
3. 신경망과 영상 코덱의 연계에 기반한 영상 특징맵 부호화 방법 및 장치
4. 특징맵 적응 및 순차적 복원에 기반한 다계층 특징맵 부호화 방법 및 장치
5. 선택적 학습 기법과 적응적 채널 절삭을 이용한 피쳐맵 부호화/복호화 방법 및 장치 </t>
    <phoneticPr fontId="1" type="noConversion"/>
  </si>
  <si>
    <t>1. 한국, 미국
2. 한국, PCT
3. 한국, 미국
4. 한국, PCT
5. 한국, 미국</t>
    <phoneticPr fontId="1" type="noConversion"/>
  </si>
  <si>
    <t>1. 김연희 
2. 정세윤
3. 이주영
4. 이주영
5. 정세윤</t>
    <phoneticPr fontId="1" type="noConversion"/>
  </si>
  <si>
    <t>유</t>
    <phoneticPr fontId="1" type="noConversion"/>
  </si>
  <si>
    <t>1.출원
2.출원</t>
    <phoneticPr fontId="1" type="noConversion"/>
  </si>
  <si>
    <t>1. 기계를 위한 비디오 부호화 적용 영상 품질 평가 메시지
2. 기계를 위한 비디오 부호화 적용 적응적 대비 후처리 필터 방법</t>
    <phoneticPr fontId="1" type="noConversion"/>
  </si>
  <si>
    <t>1. 한국, 미국
2. 한국, 미국</t>
    <phoneticPr fontId="1" type="noConversion"/>
  </si>
  <si>
    <t>1. 정세윤
2. 정세윤</t>
    <phoneticPr fontId="1" type="noConversion"/>
  </si>
  <si>
    <t>1.출원, 2.출원</t>
    <phoneticPr fontId="1" type="noConversion"/>
  </si>
  <si>
    <t>1. 고속 음원의 거리에 따른 지연 위치 보상 방법 및 장치
2. 가상현실에서 음원 위치 지연 방법 및 장치</t>
    <phoneticPr fontId="1" type="noConversion"/>
  </si>
  <si>
    <t>Post-VVC 표준은 이전 표준인 VVC (Versatile Video Coding) 대비 높은 압축률을 제공하기 위한 비디오 부호화 국제 표준이며, 현재 표준 개발을 위한 Draft CfE 단계임</t>
    <phoneticPr fontId="1" type="noConversion"/>
  </si>
  <si>
    <t>Gaussian Splat Coding(가칭)</t>
    <phoneticPr fontId="1" type="noConversion"/>
  </si>
  <si>
    <t>SC29 WG4&amp;WG7</t>
    <phoneticPr fontId="1" type="noConversion"/>
  </si>
  <si>
    <t>3D Gaussian Splat 비디오 표현을 효율적으로 부호화하기 위한 표준임</t>
    <phoneticPr fontId="1" type="noConversion"/>
  </si>
  <si>
    <t>방건, 이하현, 도지훈, 정종면, 김서하</t>
    <phoneticPr fontId="1" type="noConversion"/>
  </si>
  <si>
    <t>MPEG-AI Part 5: AI-based point cloud coding</t>
    <phoneticPr fontId="1" type="noConversion"/>
  </si>
  <si>
    <t>ISO/IEC 23888-5</t>
    <phoneticPr fontId="1" type="noConversion"/>
  </si>
  <si>
    <t>AI 기술를 사용하여 point cloud를 효율적으로 부호화하기 위한 표준임.</t>
    <phoneticPr fontId="1" type="noConversion"/>
  </si>
  <si>
    <t>방건, 김수웅, 김준식</t>
    <phoneticPr fontId="1" type="noConversion"/>
  </si>
  <si>
    <t>에디터(방건)</t>
    <phoneticPr fontId="1" type="noConversion"/>
  </si>
  <si>
    <t>1.DNN 기반 점구름 부호화를 위한 다차원 특성 추출 방법 및 그 장치
2.  AI 기반 압축 모델을 위한 채널 스킵 기법 기반 효율적인 잠재 표현 부호화</t>
    <phoneticPr fontId="1" type="noConversion"/>
  </si>
  <si>
    <t>1. 김준식
2. 김수웅</t>
    <phoneticPr fontId="1" type="noConversion"/>
  </si>
  <si>
    <t>Information technology - MPEG-I (Coded Representation of Immersive Media) - Part 38: Enhanced Geometry-based Point Cloud Compression</t>
    <phoneticPr fontId="1" type="noConversion"/>
  </si>
  <si>
    <t>ISO/IEC 23090-38</t>
    <phoneticPr fontId="1" type="noConversion"/>
  </si>
  <si>
    <t>본 표준은 Geometry-based Point Cloud Coimpression 기술 보다 압축 효율이 향상되고 프레임 간 예측 기능을 포함한 새로운 기능이 추가된 Geometry 기반 포인트 클라우드 압축 기술을 다룬다.</t>
    <phoneticPr fontId="1" type="noConversion"/>
  </si>
  <si>
    <t>IEEE Std. 802.15.7a™ - 2024</t>
    <phoneticPr fontId="1" type="noConversion"/>
  </si>
  <si>
    <t>개발된 표준문서는 IEEE 802.15.7-2018 표준 기술의 확장을 위해 PHY 작동 모드로서 PHY VII 모드를 추가 정의하고, PHY VII 모드의 지원 기술로 RS-OFDM, MIMO-COOK, O-NOMA, MIMO-OOK, Hybrid modulation 규격을 명시한다. 또한 관련 수신 디코딩 참고사항을 부록에서 기술한다.</t>
    <phoneticPr fontId="1" type="noConversion"/>
  </si>
  <si>
    <t>ITU-T X.2013</t>
    <phoneticPr fontId="1" type="noConversion"/>
  </si>
  <si>
    <t>ITU-T X.2050</t>
    <phoneticPr fontId="1" type="noConversion"/>
  </si>
  <si>
    <t>정영우, 손석호, 강동재, 김병섭, 오병택, 김수영, 김윤곤, 장한이, 이강찬</t>
    <phoneticPr fontId="1" type="noConversion"/>
  </si>
  <si>
    <t>정영우, 손석호, 강동재, 김병섭, 오병택, 김윤곤, 장한이, 이강찬</t>
    <phoneticPr fontId="1" type="noConversion"/>
  </si>
  <si>
    <t>Information technology - Cloud computing - Guidelines for Using Cloud Computing for AI Applications</t>
    <phoneticPr fontId="1" type="noConversion"/>
  </si>
  <si>
    <t xml:space="preserve">AI 응용을 사용자에게 제공하기 위하여 클라우드 컴퓨팅을 활용하여 서비스를 구성하거나 제공하기 위한 클라우드 컴퓨팅 사용 가이드라인을 제공하는 표준임 </t>
    <phoneticPr fontId="1" type="noConversion"/>
  </si>
  <si>
    <t>김대원</t>
    <phoneticPr fontId="1" type="noConversion"/>
  </si>
  <si>
    <t>Cloud computing - Functional requirements and framework of machine learning as a service lifecycle managemen</t>
  </si>
  <si>
    <t>ITU-T Y.MLaaS-frame</t>
    <phoneticPr fontId="1" type="noConversion"/>
  </si>
  <si>
    <t>본 권고안은 다양한 사용 사례를 분석하여 MLaaS 수명 주기 관리의 개요와 기능 요구 사항을 제공합니다. 또한 기능 요구 사항을 기반으로 논리적 구성 요소를 식별하여 계층적 기능 프레임워크를 제공하고, ITU-T Y.3502 권고안에 정의된 기능 구성 요소와의 관계를 설명합니다.</t>
  </si>
  <si>
    <t>김대원, 최현화</t>
    <phoneticPr fontId="1" type="noConversion"/>
  </si>
  <si>
    <t>Cloud computing - Functional requirements of PaaS for ML application</t>
    <phoneticPr fontId="1" type="noConversion"/>
  </si>
  <si>
    <t>ITU-T Y.MLPaaS-reqts</t>
    <phoneticPr fontId="1" type="noConversion"/>
  </si>
  <si>
    <t>머신 러닝 응용을 위한 PaaS의 기능 요구사항을 제공하는 표준임</t>
    <phoneticPr fontId="1" type="noConversion"/>
  </si>
  <si>
    <t>Cloud computing - Funtional requirements for cloud computing infrastructure for AI</t>
    <phoneticPr fontId="1" type="noConversion"/>
  </si>
  <si>
    <t>클라우드 컴퓨팅 환경에서 AI를 제공하기 위한 인프라 스트럭처의 요구사항을 제공하는 표준임</t>
    <phoneticPr fontId="1" type="noConversion"/>
  </si>
  <si>
    <t>Technical Report: Landscape analysis of Zero-Knowledge machine learning</t>
    <phoneticPr fontId="1" type="noConversion"/>
  </si>
  <si>
    <t>ITU-T TR.lzkml</t>
    <phoneticPr fontId="1" type="noConversion"/>
  </si>
  <si>
    <t>머신러닝(ML)은 다양한 분야에 걸쳐 널리 적용되고 있지만, ML 모델과 데이터의 보안과 PII를 보장하는 것은 여전히 중요한 과제로 남아 있다. 특히, 탈중앙화되고 PII에 민감한 환경에서는 기초 데이터나 모델 세부 정보를 노출하지 않고도 ML 계산의 정확성을 검증하는 것이 필수적이다. 영지식 머신러닝(ZKML)은 영지식 증명(ZKP)을 활용하여 PII를 보존하고 검증 가능한 ML 계산을 가능하게 한다. ZKML은 암호화 증명을 활용하여 모델 소유자가 민감한 정보를 공개하지 않고도 ML 모델의 추론 또는 학습 프로세스가 올바르게 실행되었음을 증명할 수 있다. 이 접근 방식은 AI 모델에 대한 신뢰를 높이고, 적대적인 조작을 방지하며, 안전한 모델 검증을 보장한다. 이 기술 보고서는 ZKML의 현재 환경에 대한 개요를 제공하고 주요 사용 사례와 보안 위협을 조사하고, ZKML의 실제 적용 사례와 향후 표준화 및 광범위한 배포 가능성을 평가함으로써 ITU-T 회원과 연구자들에게 참고 자료로 활용될 수 있도록 하는 것을 목표로 한다.</t>
    <phoneticPr fontId="1" type="noConversion"/>
  </si>
  <si>
    <t>인공지능컴퓨팅연구소</t>
    <phoneticPr fontId="1" type="noConversion"/>
  </si>
  <si>
    <t>온디바이스AI연구본부</t>
    <phoneticPr fontId="1" type="noConversion"/>
  </si>
  <si>
    <t>General requirements of on-device AIoT framework for robot services</t>
    <phoneticPr fontId="1" type="noConversion"/>
  </si>
  <si>
    <t>ITU-T Y.AIoT-RSreq</t>
    <phoneticPr fontId="1" type="noConversion"/>
  </si>
  <si>
    <t>온디바이스 환경에서 로봇 서비스를 위한 로봇 지능 프레임워크 요구사항 제안</t>
    <phoneticPr fontId="1" type="noConversion"/>
  </si>
  <si>
    <t>홍승태, 김정시, 김성한</t>
    <phoneticPr fontId="1" type="noConversion"/>
  </si>
  <si>
    <t>에디터(홍승태)</t>
    <phoneticPr fontId="1" type="noConversion"/>
  </si>
  <si>
    <t>직할부서</t>
    <phoneticPr fontId="1" type="noConversion"/>
  </si>
  <si>
    <t>응답건수</t>
    <phoneticPr fontId="1" type="noConversion"/>
  </si>
  <si>
    <t>신규추가</t>
    <phoneticPr fontId="1" type="noConversion"/>
  </si>
  <si>
    <t>갱신건수</t>
    <phoneticPr fontId="1" type="noConversion"/>
  </si>
  <si>
    <t>온디바이스AI연구본부</t>
  </si>
  <si>
    <t>이동통신연구본부</t>
  </si>
  <si>
    <t>실감소자연구본부</t>
  </si>
  <si>
    <t>콘텐츠연구본부</t>
  </si>
  <si>
    <t>R</t>
  </si>
  <si>
    <t>R</t>
    <phoneticPr fontId="1" type="noConversion"/>
  </si>
  <si>
    <t>R</t>
    <phoneticPr fontId="1" type="noConversion"/>
  </si>
  <si>
    <t>소계</t>
    <phoneticPr fontId="1" type="noConversion"/>
  </si>
  <si>
    <t>총계</t>
    <phoneticPr fontId="1" type="noConversion"/>
  </si>
  <si>
    <t>2024년도</t>
    <phoneticPr fontId="1" type="noConversion"/>
  </si>
  <si>
    <t>AI안전연구소</t>
    <phoneticPr fontId="1" type="noConversion"/>
  </si>
  <si>
    <t>2025년도</t>
    <phoneticPr fontId="1" type="noConversion"/>
  </si>
  <si>
    <t>초지능창의연구소</t>
    <phoneticPr fontId="1" type="noConversion"/>
  </si>
  <si>
    <t>입체통신연구소</t>
    <phoneticPr fontId="1" type="noConversion"/>
  </si>
  <si>
    <t>초실감메타버스연구소</t>
    <phoneticPr fontId="1" type="noConversion"/>
  </si>
  <si>
    <t>디지털융합연구소</t>
    <phoneticPr fontId="1" type="noConversion"/>
  </si>
  <si>
    <t>R</t>
    <phoneticPr fontId="1" type="noConversion"/>
  </si>
  <si>
    <t>RFC 9731</t>
    <phoneticPr fontId="1" type="noConversion"/>
  </si>
  <si>
    <t>사용자에게 가상 네트워크 서비스를 제공하기 위한 YANG 데이터 모델을 정의함. 최종 승인이 완료됨</t>
    <phoneticPr fontId="1" type="noConversion"/>
  </si>
  <si>
    <t>TS 23.288 (Release 19)</t>
    <phoneticPr fontId="1" type="noConversion"/>
  </si>
  <si>
    <t>미정</t>
    <phoneticPr fontId="1" type="noConversion"/>
  </si>
  <si>
    <t>TC103 의장(조승현)</t>
    <phoneticPr fontId="1" type="noConversion"/>
  </si>
  <si>
    <t>이정훈, 문성현, 김철순, 정회윤</t>
    <phoneticPr fontId="1" type="noConversion"/>
  </si>
  <si>
    <t>Integration of quantum key distribution network and user network supporting end-to-end modern cryptography services – Requirements for quality of service assurance</t>
    <phoneticPr fontId="1" type="noConversion"/>
  </si>
  <si>
    <t>ITU-T Y.3828 (formerly, Y.QKDN-nq-qos-rf)</t>
    <phoneticPr fontId="1" type="noConversion"/>
  </si>
  <si>
    <t>QKDN 및 현대암호 통합 네트워크/서비스 품질 보장을 위한 요구사항 및 프레임워크를 정의함</t>
    <phoneticPr fontId="1" type="noConversion"/>
  </si>
  <si>
    <t>최태상</t>
    <phoneticPr fontId="1" type="noConversion"/>
  </si>
  <si>
    <t>에디터(최태상)</t>
    <phoneticPr fontId="1" type="noConversion"/>
  </si>
  <si>
    <t>Integration of quantum key distribution network and user network supporting end-to-end modern cryptography services – functional architecture</t>
    <phoneticPr fontId="1" type="noConversion"/>
  </si>
  <si>
    <t>ITU-T Y.QKDN-nq-fa</t>
    <phoneticPr fontId="1" type="noConversion"/>
  </si>
  <si>
    <t>QKDN 및 현대암호 통합 구조, 기능, 참조점, 및 운영 절차를 정의함</t>
    <phoneticPr fontId="1" type="noConversion"/>
  </si>
  <si>
    <t>계획</t>
    <phoneticPr fontId="1" type="noConversion"/>
  </si>
  <si>
    <t>1.미정</t>
    <phoneticPr fontId="1" type="noConversion"/>
  </si>
  <si>
    <t>Integration of quantum key distribution network and user network supporting end-to-end modern cryptography services – functional architecture for quality of service assurance</t>
    <phoneticPr fontId="1" type="noConversion"/>
  </si>
  <si>
    <t>QKDN 및 현대암호 통합 네트워크/서비스 품질 보장을 위한 구조, 기능, 참조점, 및 운영 절차를 정의함</t>
    <phoneticPr fontId="1" type="noConversion"/>
  </si>
  <si>
    <t>5GS(5G System)에서 네트워크 데이터 분석 서비스</t>
    <phoneticPr fontId="1" type="noConversion"/>
  </si>
  <si>
    <t>5GS Enhancement for Energy Efficiency and Energy Saving (EnergySys)
- System architecture for the 5G System (5GS)
-Procedures for the 5G System (5GS</t>
    <phoneticPr fontId="1" type="noConversion"/>
  </si>
  <si>
    <t>TS23.501(Rel-19)</t>
    <phoneticPr fontId="1" type="noConversion"/>
  </si>
  <si>
    <t>5GS(5G System)에서 네트워크의 에너지 효율 향상을 위한 유저 플레인 이벤트 익스포저 서비스 제공 방법 및 시스템</t>
    <phoneticPr fontId="1" type="noConversion"/>
  </si>
  <si>
    <t>PR20240163</t>
  </si>
  <si>
    <t>A method and system for user plane event exposure service function to improve energy efficiency and saving in 5G System</t>
  </si>
  <si>
    <t>UPF enhancement for Exposure and SBA(UPEAS_Ph2)
- System architecture for the 5G System (5GS)
-Procedures for the 5G System (5GS</t>
    <phoneticPr fontId="1" type="noConversion"/>
  </si>
  <si>
    <t>5GS(5G System)에서 응용 서비스 요구 기반 사용자 트래픽 제어 방법 및 시스템</t>
    <phoneticPr fontId="1" type="noConversion"/>
  </si>
  <si>
    <t>PR20240466</t>
    <phoneticPr fontId="1" type="noConversion"/>
  </si>
  <si>
    <t>A method and system for user traffic control based on request of Application Service function in 5G System</t>
  </si>
  <si>
    <t>PR20241401</t>
  </si>
  <si>
    <t>An method and system for QoS Monitoring event exposure service in the 5G System</t>
  </si>
  <si>
    <t>3GPP: 6GR specifications</t>
  </si>
  <si>
    <t>RAN1</t>
  </si>
  <si>
    <t>3GPP: 6G RAN L1 specifications 전반</t>
  </si>
  <si>
    <t>이정훈, 문성현, 김철순, 정회윤, 김지형</t>
  </si>
  <si>
    <t>차세대 네트워크(6G) 산업기술개발</t>
  </si>
  <si>
    <t>1. 미정</t>
  </si>
  <si>
    <t>3GPP: 6G RAN L1 specifications E-MIMO 및 sensing 기술 지원 규격 개발</t>
  </si>
  <si>
    <t>신우람, 조원철</t>
  </si>
  <si>
    <t>RAN2, RAN3</t>
  </si>
  <si>
    <t>3GPP: 6G RAN L2/L3 specifications 전반</t>
  </si>
  <si>
    <t>장성철, 차재선</t>
  </si>
  <si>
    <t>3GPP: 6G RAN L1 specifications AI/ML, MIMO 기술 지원 규격 개발</t>
  </si>
  <si>
    <t>김민현</t>
  </si>
  <si>
    <t>3GPP: 5G NR Rel-18 and Beyond; 6GR specifications</t>
  </si>
  <si>
    <t>3GPP: 5G NR Rel-18 및 이후 릴리스, 물리계층 규격; 6G RAN L1 specifications 전반</t>
  </si>
  <si>
    <t>김준형, 한건호</t>
  </si>
  <si>
    <t>3GPP: 5G NR Rel-19 and Beyond; 6GR specifications</t>
  </si>
  <si>
    <t>3GPP: 5G NR Rel-19 및 이후 릴리스, 물리계층 규격; 6G RAN L1 specifications 전반</t>
  </si>
  <si>
    <t>3GPP: 6G RAN L2/L3</t>
  </si>
  <si>
    <t>RAN2</t>
  </si>
  <si>
    <t>3GPP: 6G RAN L2/L3 기능</t>
  </si>
  <si>
    <t>장성철, 차재선, 김재흥</t>
  </si>
  <si>
    <t xml:space="preserve">신규 </t>
    <phoneticPr fontId="1" type="noConversion"/>
  </si>
  <si>
    <t>Functional requirements and architecture for avatar interoperability in cross-platform metaverse</t>
    <phoneticPr fontId="1" type="noConversion"/>
  </si>
  <si>
    <t>메타버스 플랫폼간 아바타 상호연동을 위한 기능 요구사항 및 구조 기술</t>
    <phoneticPr fontId="1" type="noConversion"/>
  </si>
  <si>
    <t>허미영, 홍정하, 현욱</t>
    <phoneticPr fontId="1" type="noConversion"/>
  </si>
  <si>
    <r>
      <t>ITU-</t>
    </r>
    <r>
      <rPr>
        <sz val="12"/>
        <color theme="1"/>
        <rFont val="맑은 고딕"/>
        <family val="3"/>
        <charset val="129"/>
        <scheme val="minor"/>
      </rPr>
      <t>T H.MV-FRAVI</t>
    </r>
    <phoneticPr fontId="1" type="noConversion"/>
  </si>
  <si>
    <t>1. 	PR20230628KRe</t>
    <phoneticPr fontId="1" type="noConversion"/>
  </si>
  <si>
    <t>하이브리드 오버레이 네트워크상의 서비스에 대한 접근제어 및 실시간 제어정보 배포 방법</t>
    <phoneticPr fontId="1" type="noConversion"/>
  </si>
  <si>
    <t>1. 허미영</t>
    <phoneticPr fontId="1" type="noConversion"/>
  </si>
  <si>
    <t>ITU-T Q.4105</t>
    <phoneticPr fontId="1" type="noConversion"/>
  </si>
  <si>
    <t>SG21 Q8</t>
    <phoneticPr fontId="1" type="noConversion"/>
  </si>
  <si>
    <t>개발중단</t>
    <phoneticPr fontId="1" type="noConversion"/>
  </si>
  <si>
    <t>ITU-T H.MV-PIOP</t>
    <phoneticPr fontId="1" type="noConversion"/>
  </si>
  <si>
    <t>Framework of network resource management with data affinity in AIoT environments</t>
    <phoneticPr fontId="1" type="noConversion"/>
  </si>
  <si>
    <t>Y.AIoT-DA</t>
    <phoneticPr fontId="1" type="noConversion"/>
  </si>
  <si>
    <t>AIoT 환경에서 AI 학습/추론을 효과적으로 수행하도록 "데이터 친밀성" 개념을 사용하여 네트워크 리소스를 그룹핑하는 기법 및 구조를 규정</t>
    <phoneticPr fontId="1" type="noConversion"/>
  </si>
  <si>
    <t>김영호</t>
    <phoneticPr fontId="1" type="noConversion"/>
  </si>
  <si>
    <t>IPv6 over Controller Area Network</t>
    <phoneticPr fontId="1" type="noConversion"/>
  </si>
  <si>
    <t>draft-wachter-6lo-can</t>
    <phoneticPr fontId="1" type="noConversion"/>
  </si>
  <si>
    <t>CAN 통신 환경에서 IPv6. 패킷 전송을 위한 Adaptaion 계층 기술 규격 제시</t>
    <phoneticPr fontId="1" type="noConversion"/>
  </si>
  <si>
    <t>박정수, A. Wachter</t>
    <phoneticPr fontId="1" type="noConversion"/>
  </si>
  <si>
    <t>TR 23.700-14 (Rel-20)
TS 23.501 (Rel-20)
TS 23.502 (Rel-20)</t>
    <phoneticPr fontId="1" type="noConversion"/>
  </si>
  <si>
    <t>5G 시스템의 센싱 통신 융합 표준기술 지원 확장</t>
    <phoneticPr fontId="1" type="noConversion"/>
  </si>
  <si>
    <t>PR20240122US</t>
    <phoneticPr fontId="1" type="noConversion"/>
  </si>
  <si>
    <t>SENSING METHOD AND SENSING SERVICE PROVISIONING METHOD USING INTEGRATED SENSING AND COMMUNICATION AND COMMUNICATION SYSTEM PROVIDING THE SAME</t>
    <phoneticPr fontId="1" type="noConversion"/>
  </si>
  <si>
    <t>PR20250255</t>
  </si>
  <si>
    <t>5G 시스템에서 센싱 지원을 위한 아키텍처 및 방법</t>
    <phoneticPr fontId="1" type="noConversion"/>
  </si>
  <si>
    <t>한국, (미국 미정)</t>
    <phoneticPr fontId="1" type="noConversion"/>
  </si>
  <si>
    <t>Service Enabler Architecture Layer for Verticals (SEAL); Functional architecture and information flows</t>
    <phoneticPr fontId="1" type="noConversion"/>
  </si>
  <si>
    <t>TS 23.434 (Rel-19)</t>
    <phoneticPr fontId="1" type="noConversion"/>
  </si>
  <si>
    <t>SA6</t>
    <phoneticPr fontId="1" type="noConversion"/>
  </si>
  <si>
    <t>5G 버티컬 지원을 위한 응용 계층 측위 시스템 표준기술 확장</t>
    <phoneticPr fontId="1" type="noConversion"/>
  </si>
  <si>
    <t>이종화</t>
    <phoneticPr fontId="1" type="noConversion"/>
  </si>
  <si>
    <t>PR20240181US</t>
    <phoneticPr fontId="1" type="noConversion"/>
  </si>
  <si>
    <t>METHOD, APPARATUS, AND COMMUNICATION SYSTEM FOR PROVISIONING LOCATION-BASED USER EQUIPMENT INFORMATION IN APPLICATION LAYER</t>
    <phoneticPr fontId="1" type="noConversion"/>
  </si>
  <si>
    <t>COVESA VISS version 3.0 - Transport</t>
    <phoneticPr fontId="1" type="noConversion"/>
  </si>
  <si>
    <t>https://rawcdn.githack.com/COVESA/vehicle-information-service-specification/cd130fddc04ab7806c779201cf5ba33a5299a3f0/spec/VISSv3.0_Transport.html</t>
    <phoneticPr fontId="1" type="noConversion"/>
  </si>
  <si>
    <t>본 표준은 차량 정보 서비스 사양 버전 3.0의 전송 프로토콜에 대한 표준을 정의함. 본 표준은 HTTPS, Secure WebSocket, MQTT를 포함한 여러 전송 프로토콜과 기능을 정의함</t>
    <phoneticPr fontId="1" type="noConversion"/>
  </si>
  <si>
    <t>Proposed new work item on Y.mv-iid, Interoperability of identity of IoT device across metaverse platforms</t>
    <phoneticPr fontId="1" type="noConversion"/>
  </si>
  <si>
    <t>SG20 Q6</t>
    <phoneticPr fontId="1" type="noConversion"/>
  </si>
  <si>
    <t>메타버스 플랫폼간 IOT 디바이스 신원정보 상호연동 기술</t>
    <phoneticPr fontId="1" type="noConversion"/>
  </si>
  <si>
    <t>허미영</t>
    <phoneticPr fontId="1" type="noConversion"/>
  </si>
  <si>
    <t>Multimedia aspect of metaverse architecture</t>
    <phoneticPr fontId="1" type="noConversion"/>
  </si>
  <si>
    <t>ITU-T H.MV-MAMA</t>
    <phoneticPr fontId="1" type="noConversion"/>
  </si>
  <si>
    <t>메타버스 아키텍처의 멀티미디어 측면</t>
    <phoneticPr fontId="1" type="noConversion"/>
  </si>
  <si>
    <t>Requirements and framework of artificial intelligence-based video surveillance system for power grid construction</t>
    <phoneticPr fontId="1" type="noConversion"/>
  </si>
  <si>
    <t xml:space="preserve">	ITU-T F.AIVSSPGC</t>
    <phoneticPr fontId="1" type="noConversion"/>
  </si>
  <si>
    <t>SG21 Q7</t>
    <phoneticPr fontId="1" type="noConversion"/>
  </si>
  <si>
    <t>전력망 구축을 위한 인공지능 기반 영상감시 시스템의 요구사항 및 프레임워크</t>
  </si>
  <si>
    <t>Monitoring Parameters for the Signalling Protocols of SD-WAN service</t>
    <phoneticPr fontId="1" type="noConversion"/>
  </si>
  <si>
    <t>ITU-T Q.MP_SDWAN</t>
    <phoneticPr fontId="1" type="noConversion"/>
  </si>
  <si>
    <t>SG11 Q13</t>
    <phoneticPr fontId="1" type="noConversion"/>
  </si>
  <si>
    <t>SD-WAN 서비스의 시그널링 프로토콜에 대한 모니터링 매개변수</t>
  </si>
  <si>
    <t>Monitoring Parameters for Protocols and Resource of SDN and NFV based Central Office service</t>
    <phoneticPr fontId="1" type="noConversion"/>
  </si>
  <si>
    <t>ITU-T Q.MPCO</t>
    <phoneticPr fontId="1" type="noConversion"/>
  </si>
  <si>
    <t>SDN 및 NFV 기반 중앙 사무실 서비스의 프로토콜 및 리소스에 대한 모니터링 파라미터</t>
    <phoneticPr fontId="1" type="noConversion"/>
  </si>
  <si>
    <t>Overview of Software-Defined Vehicles</t>
  </si>
  <si>
    <t>ITU-T FSTP-SDV</t>
    <phoneticPr fontId="1" type="noConversion"/>
  </si>
  <si>
    <t>SG21 Q10</t>
    <phoneticPr fontId="1" type="noConversion"/>
  </si>
  <si>
    <t>소프트웨어 정의 차량 개요 기술보고서</t>
    <phoneticPr fontId="1" type="noConversion"/>
  </si>
  <si>
    <t>홍정하, 김성한, 차홍기</t>
    <phoneticPr fontId="1" type="noConversion"/>
  </si>
  <si>
    <t>Functional requirements and architecture for digital asset interoperability in cross-platform metaverse</t>
    <phoneticPr fontId="1" type="noConversion"/>
  </si>
  <si>
    <t>ITU-T H.MV-FRADAI</t>
    <phoneticPr fontId="1" type="noConversion"/>
  </si>
  <si>
    <t>메타버스 플랫폼간 디지털자산 연동 기능 요구사항 및 구조</t>
    <phoneticPr fontId="1" type="noConversion"/>
  </si>
  <si>
    <t>홍정하, 허미영</t>
    <phoneticPr fontId="1" type="noConversion"/>
  </si>
  <si>
    <t>Semantic Definition Format (SDF) Extension for Non-Affordance Information</t>
    <phoneticPr fontId="1" type="noConversion"/>
  </si>
  <si>
    <t>draft-hong-asdf-sdf-nonaffordance</t>
  </si>
  <si>
    <t>SDF 미지원 기기를 위한 SDF 확장</t>
  </si>
  <si>
    <t>홍정하, 이현정</t>
    <phoneticPr fontId="1" type="noConversion"/>
  </si>
  <si>
    <t>1.미국
2.미국</t>
    <phoneticPr fontId="1" type="noConversion"/>
  </si>
  <si>
    <t>1.PR20210145(KR/US)
2.PR20210330(KR/US)</t>
    <phoneticPr fontId="1" type="noConversion"/>
  </si>
  <si>
    <t>1.최영환
2.최영환</t>
    <phoneticPr fontId="1" type="noConversion"/>
  </si>
  <si>
    <t>1. FRAMEWORK, METHOD, AND DEVICE FOR INTERNET OF THINGS SERVICE
2. DETAILED FUNCTIONS AND INTERWORKING METHOD OF IoT CONVERGENCE FRAMEWORK CONFIGURATION DEVICE FOR SERVICE INTELLIGENCE</t>
    <phoneticPr fontId="1" type="noConversion"/>
  </si>
  <si>
    <t>1. 미국
2. 미국</t>
    <phoneticPr fontId="1" type="noConversion"/>
  </si>
  <si>
    <t>1.최영환
2.최영환</t>
    <phoneticPr fontId="1" type="noConversion"/>
  </si>
  <si>
    <t>1.출원
2.출원</t>
    <phoneticPr fontId="1" type="noConversion"/>
  </si>
  <si>
    <t>PR20230312
PR20240376</t>
    <phoneticPr fontId="1" type="noConversion"/>
  </si>
  <si>
    <t>1.미국
2.한국</t>
    <phoneticPr fontId="1" type="noConversion"/>
  </si>
  <si>
    <t>1.한국
2.한국</t>
    <phoneticPr fontId="1" type="noConversion"/>
  </si>
  <si>
    <t>1.등록
2.등록</t>
    <phoneticPr fontId="1" type="noConversion"/>
  </si>
  <si>
    <t>1.2023-0048810
2.2021-0144867</t>
    <phoneticPr fontId="1" type="noConversion"/>
  </si>
  <si>
    <t>-블록체인 기반 승강기 점검 정보 공유 및 검증을 위한 방법 및 장치
-승강기 제어 방법 및 장치</t>
    <phoneticPr fontId="1" type="noConversion"/>
  </si>
  <si>
    <t>-정책기반 스마트 계약을 생성하기 위한 방법 및 그 장치
-스마트 계약 사용자 및 데이터 검증 방법 및 시스템</t>
    <phoneticPr fontId="1" type="noConversion"/>
  </si>
  <si>
    <t>1.미국
2.한국</t>
    <phoneticPr fontId="1" type="noConversion"/>
  </si>
  <si>
    <t>1.2505911/11620722
2.2023-0074360</t>
    <phoneticPr fontId="1" type="noConversion"/>
  </si>
  <si>
    <t>PR20190546US
PR20200098US</t>
    <phoneticPr fontId="1" type="noConversion"/>
  </si>
  <si>
    <t>1.한국/미국
2.한국/미국</t>
    <phoneticPr fontId="1" type="noConversion"/>
  </si>
  <si>
    <t>AI안전연구소</t>
  </si>
  <si>
    <t>AI안전평가실</t>
    <phoneticPr fontId="1" type="noConversion"/>
  </si>
  <si>
    <t>Y.sup.aisr</t>
    <phoneticPr fontId="1" type="noConversion"/>
  </si>
  <si>
    <t>개발중단</t>
  </si>
  <si>
    <t>AI안전평가실</t>
    <phoneticPr fontId="1" type="noConversion"/>
  </si>
  <si>
    <t>계획중</t>
    <phoneticPr fontId="1" type="noConversion"/>
  </si>
  <si>
    <t>제안중</t>
    <phoneticPr fontId="1" type="noConversion"/>
  </si>
  <si>
    <t>개발중단</t>
    <phoneticPr fontId="1" type="noConversion"/>
  </si>
  <si>
    <t>제정완료</t>
    <phoneticPr fontId="1" type="noConversion"/>
  </si>
  <si>
    <t>개발중</t>
    <phoneticPr fontId="1" type="noConversion"/>
  </si>
  <si>
    <t>2025년도</t>
    <phoneticPr fontId="1" type="noConversion"/>
  </si>
  <si>
    <t>출원/출원</t>
  </si>
  <si>
    <t>1.출원
2.출원</t>
  </si>
  <si>
    <t>출원/등록</t>
  </si>
  <si>
    <t>1.등록/출원
2.등록/출원</t>
  </si>
  <si>
    <t xml:space="preserve">등록 </t>
  </si>
  <si>
    <t>등록/출원</t>
  </si>
  <si>
    <t>1.한국
2.미국</t>
    <phoneticPr fontId="1" type="noConversion"/>
  </si>
  <si>
    <t>1.PR20240180KRa
2.PR20240180US</t>
    <phoneticPr fontId="1" type="noConversion"/>
  </si>
  <si>
    <t>1.PR20210456 (KR/US)
2.PR20210457 (KR/US)</t>
    <phoneticPr fontId="1" type="noConversion"/>
  </si>
  <si>
    <t>1.등록</t>
  </si>
  <si>
    <t>1.등록</t>
    <phoneticPr fontId="1" type="noConversion"/>
  </si>
  <si>
    <t>1.출원</t>
    <phoneticPr fontId="1" type="noConversion"/>
  </si>
  <si>
    <t>1.PR20151730(KR/US)</t>
    <phoneticPr fontId="1" type="noConversion"/>
  </si>
  <si>
    <t>1.PR20190472(KR/US)</t>
    <phoneticPr fontId="1" type="noConversion"/>
  </si>
  <si>
    <t>1.PR20230088(KR/US)</t>
    <phoneticPr fontId="1" type="noConversion"/>
  </si>
  <si>
    <t>1.미국</t>
  </si>
  <si>
    <r>
      <rPr>
        <b/>
        <sz val="12"/>
        <rFont val="맑은 고딕"/>
        <family val="3"/>
        <charset val="129"/>
        <scheme val="minor"/>
      </rPr>
      <t>1.</t>
    </r>
    <r>
      <rPr>
        <sz val="12"/>
        <rFont val="맑은 고딕"/>
        <family val="2"/>
        <charset val="129"/>
        <scheme val="minor"/>
      </rPr>
      <t>미국</t>
    </r>
    <phoneticPr fontId="1" type="noConversion"/>
  </si>
  <si>
    <t>1.한국</t>
  </si>
  <si>
    <t>1.한국</t>
    <phoneticPr fontId="1" type="noConversion"/>
  </si>
  <si>
    <t>1.PR20220928US</t>
    <phoneticPr fontId="1" type="noConversion"/>
  </si>
  <si>
    <t>출원
등록</t>
    <phoneticPr fontId="1" type="noConversion"/>
  </si>
  <si>
    <t>1. 장대영
2. 장대영</t>
    <phoneticPr fontId="1" type="noConversion"/>
  </si>
  <si>
    <t>1.한국</t>
    <phoneticPr fontId="1" type="noConversion"/>
  </si>
  <si>
    <t>1.등록
2.등록
3.등록</t>
  </si>
  <si>
    <t xml:space="preserve">1.등록
2.등록 </t>
  </si>
  <si>
    <t>1.등록
2.등록</t>
  </si>
  <si>
    <t>1.등록
2.등록
3.등록
4.등록
5.등록</t>
  </si>
  <si>
    <t>1.등록 
2.등록</t>
  </si>
  <si>
    <t>1.등록
2.등록
3.등록
4.등록
5.등록
…</t>
  </si>
  <si>
    <t>1.출원
2.등록
3.등록</t>
  </si>
  <si>
    <t>1.출원(국내)
출원중(US)</t>
  </si>
  <si>
    <t>1.등록
2.등록
3.등록
4.등록
5.출원</t>
  </si>
  <si>
    <t>1.등록
2.등록
3.등록
4.등록
5.출원
6.출원
7.출원
8.출원</t>
  </si>
  <si>
    <t>1.등록
2.출원</t>
  </si>
  <si>
    <t>1. 미국
2.출원</t>
  </si>
  <si>
    <t>1.출원
2.출원
3.출원</t>
  </si>
  <si>
    <t>1.출원
2.등록</t>
  </si>
  <si>
    <t>1.출원
2.출원
3.출원
4.출원
5.출원</t>
  </si>
  <si>
    <t>1.PR20090647
2.PR20100770
3.PR20120200</t>
  </si>
  <si>
    <t>1.PR20160134</t>
  </si>
  <si>
    <t>1.PR20120779
2.PR20151075
3.PR20160222</t>
  </si>
  <si>
    <t>1.PR20160098</t>
  </si>
  <si>
    <t>1.PR20190111</t>
  </si>
  <si>
    <t>1.PR20160164</t>
  </si>
  <si>
    <t>1.PR20060026</t>
  </si>
  <si>
    <t xml:space="preserve">	1.PR20150623</t>
  </si>
  <si>
    <t>1.PR20140875</t>
  </si>
  <si>
    <t>1.PR20130132</t>
  </si>
  <si>
    <t>1.PR20150420
2.PR20160145</t>
  </si>
  <si>
    <t>1.PR20180097</t>
  </si>
  <si>
    <t>1.PR20180011</t>
  </si>
  <si>
    <t>1.PR20220320
2.PR20221278</t>
  </si>
  <si>
    <t>1.PR20180294</t>
  </si>
  <si>
    <t>1.PR20120848</t>
  </si>
  <si>
    <t>1.PR20120639</t>
  </si>
  <si>
    <t>1.PR20170740</t>
  </si>
  <si>
    <t>1.PR20170258
2.PR20170257</t>
  </si>
  <si>
    <t>1.PR20240110US(PR20240110KR)</t>
  </si>
  <si>
    <t>1.PR20110438
2.PR20092065
3.PR20090627
4.PR20090601
5.PR20080708</t>
  </si>
  <si>
    <t>1.PR20170390</t>
  </si>
  <si>
    <t>1.PR20170126
2.PR20180380
3.PR20190113
4.PR20200216
5.PR20210101</t>
  </si>
  <si>
    <t>1.PR20190175
2.PR20190815
3.PR20190176
4.PR20200401
5.PR20220020
6.PR20220213
7.PR20230016
8.PR20230055</t>
  </si>
  <si>
    <t>1.PR20180322US(PR20180322KR)
2.PR20180323KR</t>
  </si>
  <si>
    <t>1.PR20210412US
2.PR20210680US</t>
  </si>
  <si>
    <t>1.PR20200156</t>
  </si>
  <si>
    <t>1.PR20120508(US/KR)</t>
  </si>
  <si>
    <t>1.PR20170246US
2.PR20170247US
3.PR20170743US</t>
  </si>
  <si>
    <t>1.PR20190771US
2.PR20211238US</t>
  </si>
  <si>
    <t>1.PR20160163
2..PR20170133</t>
  </si>
  <si>
    <t>1.PR20180075</t>
  </si>
  <si>
    <t xml:space="preserve">1.PR20230009(KR/US)
2.PR20230014(KR/US)
3.PR20230132(KR/US)
</t>
  </si>
  <si>
    <t>1.PR20110865
2.PR20120850</t>
  </si>
  <si>
    <t>1.PR20122088</t>
  </si>
  <si>
    <t>1.PR20180284</t>
  </si>
  <si>
    <t>1.PR20150914</t>
  </si>
  <si>
    <t>1.PR20072008</t>
  </si>
  <si>
    <t>1.PR20092127
2.PR20150262</t>
  </si>
  <si>
    <t>1.PR20211088(KR)
2.PR20211018(KR)</t>
  </si>
  <si>
    <t>1.PR20250067
2.PR20250133</t>
  </si>
  <si>
    <t>1.PR20080701
2.PR20082006
3.PR20080715</t>
  </si>
  <si>
    <t>1.PR20130757</t>
  </si>
  <si>
    <t>1.PR20050415
2.PR20071459
3.PR20101672
4.PR20111919
5.PR20122054
…</t>
  </si>
  <si>
    <t>1.PR20240402, 2.PR20250019</t>
  </si>
  <si>
    <t>1.PR20230431
2.PR20230281
3.PR20230728
4.PR20240409
5.PR20240932</t>
  </si>
  <si>
    <t>1.PR20240201
2.PR20250138</t>
  </si>
  <si>
    <t>1.PR20091567</t>
  </si>
  <si>
    <t>1.PR20240551US
2.PR20240560US
3.PR20250202US</t>
  </si>
  <si>
    <t xml:space="preserve">	1.PR20201178US
2.PR20220022US</t>
  </si>
  <si>
    <t>1.	PR20110415(KR/US)
2.	PR20130323KR/US)
3.	PR20131062KR/US)</t>
    <phoneticPr fontId="1" type="noConversion"/>
  </si>
  <si>
    <t>1.PR20170392(KR/US)
2.PR20181073(KR/US)
3.PR20210255(KR/US)</t>
    <phoneticPr fontId="1" type="noConversion"/>
  </si>
  <si>
    <t>1.PR20190579(KR/US)</t>
    <phoneticPr fontId="1" type="noConversion"/>
  </si>
  <si>
    <t xml:space="preserve">	1.PR20131177(KR/US)
2.PR20150408(KR/US)
3.PR20150409(KR/US)
4.PR20150999(KR/US)</t>
    <phoneticPr fontId="1" type="noConversion"/>
  </si>
  <si>
    <t>1. 한국,마국
2. 한국,마국
3. 한국,마국
4. 한국,마국</t>
    <phoneticPr fontId="1" type="noConversion"/>
  </si>
  <si>
    <t>1. 한국,마국
2.한국,미국
3.한국,미국</t>
    <phoneticPr fontId="1" type="noConversion"/>
  </si>
  <si>
    <t>1. 한국,마국
2. 한국,마국
3. 한국,마국</t>
    <phoneticPr fontId="1" type="noConversion"/>
  </si>
  <si>
    <t>1.오명훈(김대원)
2.오명훈(김대원)
3.김대원</t>
    <phoneticPr fontId="1" type="noConversion"/>
  </si>
  <si>
    <t>1.문종배(김대원)
2.오명훈(김대원)
3.오수철
4.김대원</t>
    <phoneticPr fontId="1" type="noConversion"/>
  </si>
  <si>
    <t>1.김대원
2.오수철
3.김대원</t>
    <phoneticPr fontId="1" type="noConversion"/>
  </si>
  <si>
    <t xml:space="preserve">1,장수민
2.최현화
3.최현화 
4.김대원 </t>
    <phoneticPr fontId="1" type="noConversion"/>
  </si>
  <si>
    <t>1.등록 
2.등록 
3.등록
4.등록</t>
    <phoneticPr fontId="1" type="noConversion"/>
  </si>
  <si>
    <t>1.한국,미국
2.한국,미국
3.한국,미국</t>
    <phoneticPr fontId="1" type="noConversion"/>
  </si>
  <si>
    <t>1.김대원
2.김대원
3.김대원</t>
    <phoneticPr fontId="1" type="noConversion"/>
  </si>
  <si>
    <t>1.출원
2.출원
3.등록</t>
    <phoneticPr fontId="1" type="noConversion"/>
  </si>
  <si>
    <t>1.PR20220822(KR/US)
2.PR20230071(KR/US)
3.PR20210942(KR/US)</t>
    <phoneticPr fontId="1" type="noConversion"/>
  </si>
  <si>
    <t>에디터(심태형), 
에디터(이준섭)</t>
    <phoneticPr fontId="1" type="noConversion"/>
  </si>
  <si>
    <t>에디터(심태형), 
에디터(임정일)</t>
    <phoneticPr fontId="1" type="noConversion"/>
  </si>
  <si>
    <t>에디터(심태형), 
에디터(정상진), 
에디터(안윤영)</t>
    <phoneticPr fontId="1" type="noConversion"/>
  </si>
  <si>
    <t>에디터(안윤영), 
에디터(정상진)</t>
    <phoneticPr fontId="1" type="noConversion"/>
  </si>
  <si>
    <t>에디터(윤성현), 
에디터(이창)규</t>
    <phoneticPr fontId="1" type="noConversion"/>
  </si>
  <si>
    <t>에디터(이창규), 
에디터(윤성현)</t>
    <phoneticPr fontId="1" type="noConversion"/>
  </si>
  <si>
    <t>에디터(임정일), 
에디터(이준섭)</t>
    <phoneticPr fontId="1" type="noConversion"/>
  </si>
  <si>
    <t>에디터(임정일), 
에디터(심태형)</t>
    <phoneticPr fontId="1" type="noConversion"/>
  </si>
  <si>
    <t>에디터(최문환), 
에디터(이창규)</t>
    <phoneticPr fontId="1" type="noConversion"/>
  </si>
  <si>
    <t>에디터(최문환), 
에디터(최영환)</t>
    <phoneticPr fontId="1" type="noConversion"/>
  </si>
  <si>
    <t>에디터(최윤철), 
에디터(박정수)</t>
    <phoneticPr fontId="1" type="noConversion"/>
  </si>
  <si>
    <t>에디터(조승현)</t>
  </si>
  <si>
    <t>에디터(윤종훈)</t>
    <phoneticPr fontId="1" type="noConversion"/>
  </si>
  <si>
    <t>에디터(오관정)</t>
    <phoneticPr fontId="1" type="noConversion"/>
  </si>
  <si>
    <t>에디터(이진영), 
에디터(이예지)</t>
    <phoneticPr fontId="1" type="noConversion"/>
  </si>
  <si>
    <t>에디터(유태완),
에디터(강현중),
에디터(김태환),
프로젝트리더(이연희)</t>
    <phoneticPr fontId="1" type="noConversion"/>
  </si>
  <si>
    <t>APG 의장(오대섭)</t>
    <phoneticPr fontId="1" type="noConversion"/>
  </si>
  <si>
    <t>SG17 Q7 라포처(나재훈)
SG17 WP4 의장(나재훈)</t>
    <phoneticPr fontId="1" type="noConversion"/>
  </si>
  <si>
    <t>SG20 의장(김형준)
SG20 WP2 의장(이준섭) 
SG20 Q1 라포처(이창규)</t>
    <phoneticPr fontId="1" type="noConversion"/>
  </si>
  <si>
    <t>SG20 의장(김형준)</t>
    <phoneticPr fontId="1" type="noConversion"/>
  </si>
  <si>
    <t>표준연구본부</t>
    <phoneticPr fontId="1" type="noConversion"/>
  </si>
  <si>
    <t>N</t>
    <phoneticPr fontId="1" type="noConversion"/>
  </si>
  <si>
    <t>에디터(윤신웅)</t>
    <phoneticPr fontId="1" type="noConversion"/>
  </si>
  <si>
    <t>ITU-T Y.3531-Rev</t>
    <phoneticPr fontId="1" type="noConversion"/>
  </si>
  <si>
    <t>Cloud computing - Functional requirements for machine learning as a service</t>
    <phoneticPr fontId="1" type="noConversion"/>
  </si>
  <si>
    <t>Cloud computing - Functional requirements for GPU as a service</t>
    <phoneticPr fontId="1" type="noConversion"/>
  </si>
  <si>
    <t>AI안전평가실</t>
  </si>
  <si>
    <t>AILuminate Assessment Standard</t>
  </si>
  <si>
    <t>AILuminate</t>
  </si>
  <si>
    <t xml:space="preserve">MLCommons </t>
  </si>
  <si>
    <t>본 표준은 LLM 기반의 AI의 안전성 평가를 위한 벤치마크 데이터세트를 제공하는 표준으로, 폭력범죄, 비폭력범죄, 프라이버시, 지적재산권 등 유해한 질문에 대한 응답을 평가함. AI안전연구소는 한국어 안전평가를 위한 지역화(Localization)를 신규 제안하여 개발 예정.</t>
  </si>
  <si>
    <t>AIRR AI Risk &amp; Reliability</t>
  </si>
  <si>
    <t>AIRR</t>
  </si>
  <si>
    <t>MLCommons</t>
  </si>
  <si>
    <t>본 표준은 사용자의 컴퓨터 시스템 등에 접속해 자율적으로 작업을 수행하는 "AI에이전트"의 안전성 평가를 체계적으로 수행하기 위하여, 위험 구분을 위한 Taxanomy 및 성능 평가 방법론을 제공.</t>
  </si>
  <si>
    <t>추진건수</t>
    <phoneticPr fontId="1" type="noConversion"/>
  </si>
  <si>
    <t>ITU-T Y.GPUaas-reqts</t>
  </si>
  <si>
    <t>ITU-T Y.lsd-reqts</t>
  </si>
  <si>
    <t>윤신웅, 인민교</t>
  </si>
  <si>
    <t>이원석, 하수욱</t>
  </si>
  <si>
    <t>인민교, 윤신웅, 이강찬</t>
  </si>
  <si>
    <t>에디터(인민교)</t>
    <phoneticPr fontId="1" type="noConversion"/>
  </si>
  <si>
    <t>Big data – Framework and requirements for large-scale data preparation in AI model development</t>
  </si>
  <si>
    <t>클라우드 컴퓨팅의 서비스형 기계학습(Machine Learning as a Service, MLaaS)의 기능 요구사항을 위한 문서로 MLaaS를 지원하기 위한 클라우드 시스템 구조 및 세부 기능을 정의.</t>
  </si>
  <si>
    <t xml:space="preserve">대규모 데이터 소싱, 전처리, 품질 평가 및 상호 운용성을 위한 프레임워크 및 기술적 요구사항을 명시하는 것을 목표로 </t>
  </si>
  <si>
    <t>클라우드 컴퓨팅의 서비스형 GPU(GPU as a Service, GPUaaS)의 기능 요구사항을 위한 문서로 GPUaaS를 지원하기 위한 클라우드 시스템 구조 및 세부 기능 정의</t>
  </si>
  <si>
    <t>1. 임상규
2. 김대호
3. 김대호
4. 장일순
5. 김대호</t>
    <phoneticPr fontId="1" type="noConversion"/>
  </si>
  <si>
    <t xml:space="preserve">1. 미국
2. 미국
3. 미국
4. 미국
5. 중국 </t>
    <phoneticPr fontId="1" type="noConversion"/>
  </si>
  <si>
    <t xml:space="preserve"> Propagation data and prediction methods for the planning of short-range outdoor radiocommunication systems and radio local area networks in the frequency range 300 MHz to 100 GHz</t>
  </si>
  <si>
    <t>ITU-R P.1411-13</t>
  </si>
  <si>
    <t>SG3</t>
  </si>
  <si>
    <t xml:space="preserve">개정하고자 하는 국제 표준문서는 300 MHz ~100 GHz 대역에서 단거리 실외 무선통신 기기 및 근거리 통신망 설계를 위한 전파 데이터 및 예측방법에 관한 권고서임. 본 연구과제를 통해 국내 다양한 도심 및 부도심 환경에서 100-300 GHz 대역의 전파특성 측정 결과를 바탕으로 영국, 일본 등 타국의 측정 데이터와의 통합을 통해 기존 80GHz까지의 경로손실 전파모델(site-general model)을 최대 300GHz까지 확장한 새로운 모델 파라미터를 개발하고자 함. 추가적으로 기존 ITU-R 권고 의 주파수 활용 범위를  300 MHz ~300 GHz로 확장 제안함   </t>
  </si>
  <si>
    <t>김명돈, 이주열, 박재준</t>
  </si>
  <si>
    <t>SG3 WP3K DG3K3A 의장(김명돈)</t>
  </si>
  <si>
    <t>Propagation data and prediction methods for the planning of indoor radiocommunication systems and radio local area networks in the frequency range 300 MHz to 450 GHz</t>
  </si>
  <si>
    <t>ITU-R P.1238-13</t>
  </si>
  <si>
    <t xml:space="preserve">개정하고자 하는 국제 표준문서는 300MHz에서 450GHz 대역의 실내 무선통신 기기 및 근거리 통신망(LAN) 설계를 위한 전파 전달 데이터 및 예측 절차에 관한 권고서임. 본 연구과제를 통해 다양한 실내 오피스, 복도, 회의실/강의실 및 공장환경 등 에서 100-300 GHz 대역의 전파특성 측정 결과를 바탕으로 영국, 일본 등 타국의 측정 데이터와의 통합을 통해 기존 80GHz까지의 경로손실 전파모델(site-general model)을 최대 300GHz까지 확장한 새로운 모델 파라미터를 개발을 제안함. </t>
  </si>
  <si>
    <t>N</t>
    <phoneticPr fontId="1" type="noConversion"/>
  </si>
  <si>
    <t>김대원, 장수민</t>
  </si>
  <si>
    <t>R</t>
    <phoneticPr fontId="1" type="noConversion"/>
  </si>
  <si>
    <t>김대원, 최현화, 김선욱, 차재근, 김수영</t>
  </si>
  <si>
    <t xml:space="preserve">Information technology - Cloud computing - Edge computing landscape </t>
  </si>
  <si>
    <t>ISO/IEC TR 23188</t>
  </si>
  <si>
    <t>에지 컴퓨팅 정의 및 클라우드 컴퓨팅 및 IOT와의 관련성, 계층적 구조등에 대해 정의한 표준임</t>
  </si>
  <si>
    <t>에디터(김대원)</t>
  </si>
  <si>
    <t>에디터(김명돈)</t>
    <phoneticPr fontId="1" type="noConversion"/>
  </si>
  <si>
    <t>에디터(이주열)</t>
    <phoneticPr fontId="1" type="noConversion"/>
  </si>
  <si>
    <t>SG13 Q17 라포처(이강찬)</t>
    <phoneticPr fontId="1" type="noConversion"/>
  </si>
  <si>
    <t>SG15 부의장(정태식)</t>
    <phoneticPr fontId="1" type="noConversion"/>
  </si>
  <si>
    <t>SG20 부의장(김형준)</t>
    <phoneticPr fontId="1" type="noConversion"/>
  </si>
  <si>
    <t>SG5 Q11 라포처(정상진)</t>
    <phoneticPr fontId="1" type="noConversion"/>
  </si>
  <si>
    <t>SC6 컨비너(강신각)</t>
    <phoneticPr fontId="1" type="noConversion"/>
  </si>
  <si>
    <t>SC29 WG4&amp;WG7 공동의장(방건)</t>
    <phoneticPr fontId="1" type="noConversion"/>
  </si>
  <si>
    <t>SC38 WG3 컨비너(이승윤)</t>
    <phoneticPr fontId="1" type="noConversion"/>
  </si>
  <si>
    <t>TC80 WG17 컨비너(이광일)</t>
    <phoneticPr fontId="1" type="noConversion"/>
  </si>
  <si>
    <t>SG21 WP4 의장(강신각)</t>
    <phoneticPr fontId="1" type="noConversion"/>
  </si>
  <si>
    <t>SG13 WP2 의장(이강찬)</t>
    <phoneticPr fontId="1" type="noConversion"/>
  </si>
  <si>
    <t>SG13 Q19 부라포처(김대원)
SG13 WP2 의장(이강찬)</t>
    <phoneticPr fontId="1" type="noConversion"/>
  </si>
  <si>
    <t>SG13 Q17 라포처(하수욱), 
SG13 WP2 의장(이강찬)</t>
    <phoneticPr fontId="1" type="noConversion"/>
  </si>
  <si>
    <t>SG21 Q9 부라포처(현욱), 
SG21 WP4 의장(강신각)</t>
    <phoneticPr fontId="1" type="noConversion"/>
  </si>
  <si>
    <t>SG21 Q9 부라포처(현욱)</t>
  </si>
  <si>
    <t>SG13 Q6 라포처(최태상)</t>
    <phoneticPr fontId="1" type="noConversion"/>
  </si>
  <si>
    <t>Q</t>
    <phoneticPr fontId="1" type="noConversion"/>
  </si>
  <si>
    <t>JCA AI/ML 의장(이강찬)
SG13 Q17 라포처(하수욱)</t>
    <phoneticPr fontId="1" type="noConversion"/>
  </si>
  <si>
    <t>TC47 WG6 의장(류호준)</t>
    <phoneticPr fontId="1" type="noConversion"/>
  </si>
  <si>
    <t>MPAI 부의장(최미란), 
MMC DC 의장(최미란)</t>
    <phoneticPr fontId="1" type="noConversion"/>
  </si>
  <si>
    <t>SG3 WP3K CG3K6 의장(이주열)</t>
  </si>
  <si>
    <t>SG3 WP3K CG3K6 의장(이주열)</t>
    <phoneticPr fontId="1" type="noConversion"/>
  </si>
  <si>
    <t>SG5 부의장 김병찬 
SG5 Q3 부라포처 김병찬</t>
    <phoneticPr fontId="1" type="noConversion"/>
  </si>
  <si>
    <t>ITU-T Y.4812</t>
    <phoneticPr fontId="1" type="noConversion"/>
  </si>
  <si>
    <t>IPv6</t>
    <phoneticPr fontId="1" type="noConversion"/>
  </si>
  <si>
    <t>NGTRANS</t>
    <phoneticPr fontId="1" type="noConversion"/>
  </si>
  <si>
    <t>제정완료</t>
    <phoneticPr fontId="1" type="noConversion"/>
  </si>
  <si>
    <t>NETLMM</t>
    <phoneticPr fontId="1" type="noConversion"/>
  </si>
  <si>
    <t>16NG</t>
    <phoneticPr fontId="1" type="noConversion"/>
  </si>
  <si>
    <t>DETNET</t>
  </si>
  <si>
    <t>SG11 Q12</t>
    <phoneticPr fontId="1" type="noConversion"/>
  </si>
  <si>
    <t>SG11 Q15</t>
    <phoneticPr fontId="1" type="noConversion"/>
  </si>
  <si>
    <t>SG13 Q17</t>
    <phoneticPr fontId="1" type="noConversion"/>
  </si>
  <si>
    <t>SG16 Q25</t>
    <phoneticPr fontId="1" type="noConversion"/>
  </si>
  <si>
    <t>ITU-T Y.4700</t>
    <phoneticPr fontId="1" type="noConversion"/>
  </si>
  <si>
    <t>SG16 Q14</t>
    <phoneticPr fontId="1" type="noConversion"/>
  </si>
  <si>
    <t>SG17 Q13</t>
    <phoneticPr fontId="1" type="noConversion"/>
  </si>
  <si>
    <t>SG17 Q4</t>
    <phoneticPr fontId="1" type="noConversion"/>
  </si>
  <si>
    <t>SG17 Q7</t>
  </si>
  <si>
    <t>SG17 Q7</t>
    <phoneticPr fontId="1" type="noConversion"/>
  </si>
  <si>
    <t xml:space="preserve">SG16 Q25 </t>
    <phoneticPr fontId="1" type="noConversion"/>
  </si>
  <si>
    <t>SG5 Q18</t>
    <phoneticPr fontId="1" type="noConversion"/>
  </si>
  <si>
    <t>SG13 Q3</t>
    <phoneticPr fontId="1" type="noConversion"/>
  </si>
  <si>
    <t>SG16 Q13</t>
    <phoneticPr fontId="1" type="noConversion"/>
  </si>
  <si>
    <t>SG11 Q9</t>
    <phoneticPr fontId="1" type="noConversion"/>
  </si>
  <si>
    <t>SG13 Q2</t>
    <phoneticPr fontId="1" type="noConversion"/>
  </si>
  <si>
    <t>SG13 Q15</t>
    <phoneticPr fontId="1" type="noConversion"/>
  </si>
  <si>
    <t>SG13 Q8</t>
    <phoneticPr fontId="1" type="noConversion"/>
  </si>
  <si>
    <t>SG13 Q21</t>
    <phoneticPr fontId="1" type="noConversion"/>
  </si>
  <si>
    <t>SG11 Q9</t>
    <phoneticPr fontId="1" type="noConversion"/>
  </si>
  <si>
    <t>SG16 Q14</t>
    <phoneticPr fontId="1" type="noConversion"/>
  </si>
  <si>
    <t>SG13 Q21</t>
    <phoneticPr fontId="1" type="noConversion"/>
  </si>
  <si>
    <t>SG5 Q6</t>
    <phoneticPr fontId="1" type="noConversion"/>
  </si>
  <si>
    <t>SG16 Q21</t>
    <phoneticPr fontId="1" type="noConversion"/>
  </si>
  <si>
    <t>SG11 Q7</t>
    <phoneticPr fontId="1" type="noConversion"/>
  </si>
  <si>
    <t>SG20 Q4</t>
    <phoneticPr fontId="1" type="noConversion"/>
  </si>
  <si>
    <t>SG17 Q6</t>
    <phoneticPr fontId="1" type="noConversion"/>
  </si>
  <si>
    <t>SG15 Q2</t>
    <phoneticPr fontId="1" type="noConversion"/>
  </si>
  <si>
    <t>SG5 Q7</t>
    <phoneticPr fontId="1" type="noConversion"/>
  </si>
  <si>
    <t>IEEE 3079 WG 의장(이범렬)</t>
    <phoneticPr fontId="1" type="noConversion"/>
  </si>
  <si>
    <t>SG13 Q17 라포처(하수욱), 
SG13 WP2 의장(이강찬),
SG13 부의장(이강찬)</t>
    <phoneticPr fontId="1" type="noConversion"/>
  </si>
  <si>
    <t>SG13 Q23 부라포처(김정윤)</t>
    <phoneticPr fontId="1" type="noConversion"/>
  </si>
  <si>
    <t>SG11 Q12 라포처(김용운)</t>
    <phoneticPr fontId="1" type="noConversion"/>
  </si>
  <si>
    <t>SG20 WP1 의장(김형준)</t>
    <phoneticPr fontId="1" type="noConversion"/>
  </si>
  <si>
    <t>SG21 Q8 부라포처(홍정하)</t>
    <phoneticPr fontId="1" type="noConversion"/>
  </si>
  <si>
    <t>ITU-T F.748.50</t>
    <phoneticPr fontId="1" type="noConversion"/>
  </si>
  <si>
    <t>SG21 Q5</t>
    <phoneticPr fontId="1" type="noConversion"/>
  </si>
  <si>
    <t>SG21 Q10 부라포처(차홍기)</t>
    <phoneticPr fontId="1" type="noConversion"/>
  </si>
  <si>
    <t>SG21 부의장(강신각)</t>
  </si>
  <si>
    <t>SG21 Q9</t>
    <phoneticPr fontId="1" type="noConversion"/>
  </si>
  <si>
    <t>SG21 WP4의장(강신각)
SG21 Q9 부라포처(현욱)</t>
    <phoneticPr fontId="1" type="noConversion"/>
  </si>
  <si>
    <t>ITU-T H.XXX</t>
    <phoneticPr fontId="1" type="noConversion"/>
  </si>
  <si>
    <t>SG21 WP1 의장(강신각)
SG21 Q9 부라포처(현욱)</t>
    <phoneticPr fontId="1" type="noConversion"/>
  </si>
  <si>
    <t>SG21 Q6</t>
    <phoneticPr fontId="1" type="noConversion"/>
  </si>
  <si>
    <t>SG21 Q4</t>
    <phoneticPr fontId="1" type="noConversion"/>
  </si>
  <si>
    <t>SG21 부의장(강신각)</t>
    <phoneticPr fontId="1" type="noConversion"/>
  </si>
  <si>
    <t>SG21 WP4 의장(강신각)</t>
    <phoneticPr fontId="1" type="noConversion"/>
  </si>
  <si>
    <t>SG21 Q12</t>
    <phoneticPr fontId="1" type="noConversion"/>
  </si>
  <si>
    <t>SG16 Q25 라포처(김형준)</t>
  </si>
  <si>
    <t>SG16 Q22</t>
    <phoneticPr fontId="1" type="noConversion"/>
  </si>
  <si>
    <t>SG21 WP4 의장(강신각)
SG21 Q9 부라포처(현욱)</t>
    <phoneticPr fontId="1" type="noConversion"/>
  </si>
  <si>
    <t>SG20 부의장(김형준)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</si>
</sst>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2"/>
      <color theme="1"/>
      <name val="맑은 고딕"/>
      <family val="2"/>
      <charset val="129"/>
      <scheme val="minor"/>
    </font>
    <font>
      <sz val="8"/>
      <name val="맑은 고딕"/>
      <family val="2"/>
      <charset val="129"/>
      <scheme val="minor"/>
    </font>
    <font>
      <b/>
      <sz val="18"/>
      <color theme="1"/>
      <name val="맑은 고딕"/>
      <family val="2"/>
      <charset val="129"/>
      <scheme val="minor"/>
    </font>
    <font>
      <b/>
      <sz val="12"/>
      <color theme="1"/>
      <name val="맑은 고딕"/>
      <family val="3"/>
      <charset val="129"/>
      <scheme val="minor"/>
    </font>
    <font>
      <sz val="12"/>
      <name val="맑은 고딕"/>
      <family val="2"/>
      <charset val="129"/>
      <scheme val="minor"/>
    </font>
    <font>
      <sz val="12"/>
      <name val="맑은 고딕"/>
      <family val="3"/>
      <charset val="129"/>
      <scheme val="minor"/>
    </font>
    <font>
      <sz val="12"/>
      <color theme="1"/>
      <name val="맑은 고딕"/>
      <family val="3"/>
      <charset val="129"/>
      <scheme val="minor"/>
    </font>
    <font>
      <sz val="12"/>
      <color theme="1"/>
      <name val="맑은 고딕"/>
      <family val="2"/>
      <scheme val="minor"/>
    </font>
    <font>
      <sz val="11"/>
      <color rgb="FF9C0006"/>
      <name val="맑은 고딕"/>
      <family val="2"/>
      <charset val="129"/>
      <scheme val="minor"/>
    </font>
    <font>
      <sz val="12"/>
      <color theme="1"/>
      <name val="맑은 고딕"/>
      <family val="2"/>
      <charset val="129"/>
      <scheme val="minor"/>
    </font>
    <font>
      <sz val="10"/>
      <color rgb="FFFFFFFF"/>
      <name val="Inherit"/>
      <family val="2"/>
    </font>
    <font>
      <sz val="12"/>
      <color rgb="FF0000FF"/>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u/>
      <sz val="12"/>
      <color theme="10"/>
      <name val="맑은 고딕"/>
      <family val="2"/>
      <charset val="129"/>
      <scheme val="minor"/>
    </font>
    <font>
      <sz val="12"/>
      <name val="맑은 고딕"/>
      <family val="2"/>
      <scheme val="minor"/>
    </font>
    <font>
      <sz val="12"/>
      <name val="Malgun Gothic"/>
      <family val="3"/>
      <charset val="129"/>
    </font>
    <font>
      <sz val="11"/>
      <name val="맑은 고딕"/>
      <family val="3"/>
      <charset val="129"/>
      <scheme val="minor"/>
    </font>
    <font>
      <sz val="12"/>
      <name val="맑은 고딕"/>
      <family val="3"/>
      <charset val="129"/>
    </font>
    <font>
      <u/>
      <sz val="12"/>
      <name val="맑은 고딕"/>
      <family val="3"/>
      <charset val="129"/>
      <scheme val="minor"/>
    </font>
    <font>
      <vertAlign val="superscript"/>
      <sz val="12"/>
      <name val="맑은 고딕"/>
      <family val="3"/>
      <charset val="129"/>
      <scheme val="minor"/>
    </font>
    <font>
      <sz val="12"/>
      <name val="Wingdings"/>
      <family val="2"/>
      <charset val="2"/>
    </font>
    <font>
      <sz val="12"/>
      <name val="맑은 고딕"/>
      <family val="2"/>
      <charset val="1"/>
      <scheme val="minor"/>
    </font>
    <font>
      <sz val="12"/>
      <name val="Tahoma"/>
      <family val="2"/>
      <charset val="1"/>
    </font>
    <font>
      <sz val="12"/>
      <name val="맑은 고딕"/>
      <family val="2"/>
      <charset val="129"/>
    </font>
    <font>
      <sz val="12"/>
      <color rgb="FFFF0000"/>
      <name val="맑은 고딕"/>
      <family val="3"/>
      <charset val="129"/>
      <scheme val="minor"/>
    </font>
    <font>
      <b/>
      <sz val="12"/>
      <color rgb="FF0000FF"/>
      <name val="맑은 고딕"/>
      <family val="3"/>
      <charset val="129"/>
      <scheme val="minor"/>
    </font>
    <font>
      <sz val="12"/>
      <color theme="0"/>
      <name val="맑은 고딕"/>
      <family val="2"/>
      <charset val="129"/>
      <scheme val="minor"/>
    </font>
    <font>
      <sz val="12"/>
      <color theme="0"/>
      <name val="맑은 고딕"/>
      <family val="3"/>
      <charset val="129"/>
      <scheme val="minor"/>
    </font>
    <font>
      <sz val="12"/>
      <color rgb="FFC00000"/>
      <name val="맑은 고딕"/>
      <family val="3"/>
      <charset val="129"/>
      <scheme val="minor"/>
    </font>
    <font>
      <b/>
      <sz val="12"/>
      <color rgb="FFC00000"/>
      <name val="맑은 고딕"/>
      <family val="3"/>
      <charset val="129"/>
      <scheme val="minor"/>
    </font>
    <font>
      <strike/>
      <sz val="12"/>
      <color rgb="FFFF0000"/>
      <name val="맑은 고딕"/>
      <family val="3"/>
      <charset val="129"/>
      <scheme val="minor"/>
    </font>
    <font>
      <strike/>
      <sz val="12"/>
      <name val="맑은 고딕"/>
      <family val="3"/>
      <charset val="129"/>
      <scheme val="minor"/>
    </font>
    <font>
      <b/>
      <sz val="12"/>
      <color theme="0"/>
      <name val="맑은 고딕"/>
      <family val="3"/>
      <charset val="129"/>
      <scheme val="minor"/>
    </font>
    <font>
      <b/>
      <sz val="12"/>
      <name val="맑은 고딕"/>
      <family val="3"/>
      <charset val="129"/>
      <scheme val="minor"/>
    </font>
    <font>
      <sz val="12"/>
      <color rgb="FFFF0000"/>
      <name val="맑은 고딕"/>
      <family val="2"/>
      <charset val="129"/>
      <scheme val="minor"/>
    </font>
  </fonts>
  <fills count="17">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C7CE"/>
      </patternFill>
    </fill>
    <fill>
      <patternFill patternType="solid">
        <fgColor rgb="FFFFFFCC"/>
      </patternFill>
    </fill>
    <fill>
      <patternFill patternType="solid">
        <fgColor rgb="FFFFFF00"/>
        <bgColor indexed="64"/>
      </patternFill>
    </fill>
    <fill>
      <patternFill patternType="solid">
        <fgColor theme="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4" tint="0.79998168889431442"/>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indexed="64"/>
      </right>
      <top style="thin">
        <color indexed="64"/>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auto="1"/>
      </left>
      <right/>
      <top/>
      <bottom/>
      <diagonal/>
    </border>
    <border>
      <left/>
      <right/>
      <top/>
      <bottom style="thin">
        <color auto="1"/>
      </bottom>
      <diagonal/>
    </border>
    <border>
      <left style="thin">
        <color indexed="64"/>
      </left>
      <right style="thin">
        <color indexed="64"/>
      </right>
      <top/>
      <bottom/>
      <diagonal/>
    </border>
  </borders>
  <cellStyleXfs count="5">
    <xf numFmtId="0" fontId="0" fillId="0" borderId="0">
      <alignment vertical="center"/>
    </xf>
    <xf numFmtId="0" fontId="7" fillId="0" borderId="0"/>
    <xf numFmtId="0" fontId="8" fillId="9" borderId="0" applyNumberFormat="0" applyBorder="0" applyAlignment="0" applyProtection="0">
      <alignment vertical="center"/>
    </xf>
    <xf numFmtId="0" fontId="9" fillId="10" borderId="6" applyNumberFormat="0" applyFont="0" applyAlignment="0" applyProtection="0">
      <alignment vertical="center"/>
    </xf>
    <xf numFmtId="0" fontId="16" fillId="0" borderId="0" applyNumberFormat="0" applyFill="0" applyBorder="0" applyAlignment="0" applyProtection="0">
      <alignment vertical="center"/>
    </xf>
  </cellStyleXfs>
  <cellXfs count="364">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2" fillId="3" borderId="0" xfId="0" applyFont="1" applyFill="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4" borderId="0" xfId="0" applyFont="1" applyFill="1" applyAlignment="1">
      <alignment horizontal="center" vertical="center"/>
    </xf>
    <xf numFmtId="0" fontId="3" fillId="0" borderId="0" xfId="0" applyFont="1" applyAlignment="1">
      <alignment horizontal="center" vertical="center"/>
    </xf>
    <xf numFmtId="0" fontId="0" fillId="5" borderId="0" xfId="0" applyFill="1">
      <alignment vertical="center"/>
    </xf>
    <xf numFmtId="0" fontId="2" fillId="5" borderId="0" xfId="0" applyFont="1" applyFill="1" applyAlignment="1">
      <alignment horizontal="center" vertical="center"/>
    </xf>
    <xf numFmtId="0" fontId="10" fillId="0" borderId="0" xfId="0" applyFont="1" applyAlignment="1">
      <alignment horizontal="left" vertical="center"/>
    </xf>
    <xf numFmtId="0" fontId="6"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6" borderId="1" xfId="0" applyFont="1" applyFill="1" applyBorder="1" applyAlignment="1">
      <alignment horizontal="center" vertical="center"/>
    </xf>
    <xf numFmtId="0" fontId="5" fillId="0" borderId="5" xfId="0" applyFont="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0" fillId="0" borderId="0" xfId="0" applyFont="1" applyBorder="1">
      <alignment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Font="1" applyBorder="1" applyAlignment="1">
      <alignment vertical="center" wrapText="1"/>
    </xf>
    <xf numFmtId="0" fontId="5" fillId="0" borderId="0" xfId="0" applyFont="1" applyBorder="1">
      <alignment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1" xfId="3" applyFont="1" applyFill="1" applyBorder="1" applyAlignment="1">
      <alignment horizontal="center" vertical="center" wrapText="1"/>
    </xf>
    <xf numFmtId="0" fontId="5" fillId="6" borderId="1" xfId="3" applyFont="1" applyFill="1" applyBorder="1" applyAlignment="1">
      <alignment horizontal="center" vertical="center"/>
    </xf>
    <xf numFmtId="0" fontId="5" fillId="0" borderId="1"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quotePrefix="1" applyFont="1" applyBorder="1" applyAlignment="1">
      <alignment horizontal="left" vertical="center" wrapText="1"/>
    </xf>
    <xf numFmtId="0" fontId="5" fillId="7" borderId="1" xfId="0" applyFont="1" applyFill="1" applyBorder="1" applyAlignment="1">
      <alignment horizontal="left" vertical="center" wrapText="1"/>
    </xf>
    <xf numFmtId="0" fontId="5" fillId="6" borderId="1" xfId="3" applyFont="1" applyFill="1" applyBorder="1" applyAlignment="1">
      <alignment horizontal="left" vertical="center" wrapText="1"/>
    </xf>
    <xf numFmtId="0" fontId="4" fillId="0" borderId="1" xfId="0" applyFont="1" applyBorder="1" applyAlignment="1">
      <alignment horizontal="left" vertical="center" wrapText="1"/>
    </xf>
    <xf numFmtId="0" fontId="5" fillId="7" borderId="1"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xf>
    <xf numFmtId="0" fontId="5" fillId="0" borderId="7" xfId="0" applyFont="1" applyBorder="1" applyAlignment="1">
      <alignment horizontal="left" vertical="center" wrapText="1"/>
    </xf>
    <xf numFmtId="0" fontId="5" fillId="0" borderId="2" xfId="0" applyFont="1" applyBorder="1" applyAlignment="1">
      <alignment horizontal="left" vertical="center" wrapText="1"/>
    </xf>
    <xf numFmtId="0" fontId="5" fillId="0" borderId="1" xfId="0" applyFont="1" applyFill="1" applyBorder="1" applyAlignment="1">
      <alignment vertical="center" wrapText="1"/>
    </xf>
    <xf numFmtId="0" fontId="5" fillId="7"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49" fontId="5" fillId="6" borderId="1" xfId="2" applyNumberFormat="1" applyFont="1" applyFill="1" applyBorder="1" applyAlignment="1">
      <alignment horizontal="left" vertical="center" wrapText="1"/>
    </xf>
    <xf numFmtId="0" fontId="5" fillId="0" borderId="2" xfId="0" applyFont="1" applyBorder="1" applyAlignment="1">
      <alignment horizontal="center" vertical="center"/>
    </xf>
    <xf numFmtId="0" fontId="5"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5" fillId="6" borderId="2" xfId="0" applyFont="1" applyFill="1" applyBorder="1" applyAlignment="1">
      <alignment horizontal="center" vertical="center" wrapText="1"/>
    </xf>
    <xf numFmtId="0" fontId="17" fillId="0" borderId="1" xfId="0" applyFont="1" applyBorder="1" applyAlignment="1">
      <alignment horizontal="center" vertical="center" wrapText="1"/>
    </xf>
    <xf numFmtId="0" fontId="5" fillId="0" borderId="0" xfId="0" applyFont="1" applyBorder="1" applyAlignment="1">
      <alignment horizontal="center" vertical="center"/>
    </xf>
    <xf numFmtId="0" fontId="5" fillId="0" borderId="0" xfId="0" applyFont="1" applyFill="1">
      <alignment vertical="center"/>
    </xf>
    <xf numFmtId="0" fontId="5" fillId="0" borderId="0" xfId="0" applyFont="1" applyFill="1" applyBorder="1">
      <alignment vertical="center"/>
    </xf>
    <xf numFmtId="0" fontId="5" fillId="0" borderId="0" xfId="0" applyFont="1">
      <alignment vertical="center"/>
    </xf>
    <xf numFmtId="0" fontId="5" fillId="0" borderId="4" xfId="0" applyFont="1" applyBorder="1" applyAlignment="1">
      <alignment horizontal="center" vertical="center"/>
    </xf>
    <xf numFmtId="0" fontId="5" fillId="0" borderId="3" xfId="0" applyFont="1" applyBorder="1" applyAlignment="1">
      <alignment horizontal="center" vertical="center" wrapText="1"/>
    </xf>
    <xf numFmtId="0" fontId="18" fillId="6" borderId="1" xfId="0" quotePrefix="1" applyFont="1" applyFill="1" applyBorder="1" applyAlignment="1">
      <alignment horizontal="left" vertical="center" wrapText="1"/>
    </xf>
    <xf numFmtId="0" fontId="18" fillId="6" borderId="1" xfId="0" quotePrefix="1" applyFont="1" applyFill="1" applyBorder="1" applyAlignment="1">
      <alignment horizontal="center" vertical="center" wrapText="1"/>
    </xf>
    <xf numFmtId="0" fontId="4" fillId="6" borderId="1" xfId="0" applyFont="1" applyFill="1" applyBorder="1" applyAlignment="1">
      <alignment horizontal="center" vertical="center" wrapText="1"/>
    </xf>
    <xf numFmtId="0" fontId="18" fillId="6" borderId="1" xfId="0" quotePrefix="1" applyFont="1" applyFill="1" applyBorder="1" applyAlignment="1">
      <alignment vertical="center" wrapText="1"/>
    </xf>
    <xf numFmtId="0" fontId="4" fillId="0" borderId="0" xfId="0" applyFont="1" applyBorder="1" applyAlignment="1">
      <alignment horizontal="center" vertical="center"/>
    </xf>
    <xf numFmtId="0" fontId="4" fillId="0" borderId="0" xfId="0" applyFont="1">
      <alignment vertical="center"/>
    </xf>
    <xf numFmtId="0" fontId="5" fillId="0" borderId="10" xfId="0" applyFont="1" applyBorder="1" applyAlignment="1">
      <alignment horizontal="center" vertical="center"/>
    </xf>
    <xf numFmtId="0" fontId="5" fillId="0" borderId="9" xfId="0" applyFont="1" applyBorder="1" applyAlignment="1">
      <alignment horizontal="left" vertical="center" wrapText="1"/>
    </xf>
    <xf numFmtId="0" fontId="5" fillId="0" borderId="0" xfId="0" applyFont="1" applyBorder="1" applyAlignment="1">
      <alignment horizontal="left" vertical="center" wrapText="1"/>
    </xf>
    <xf numFmtId="0" fontId="5" fillId="0" borderId="3" xfId="0"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2" xfId="0" applyFont="1" applyFill="1" applyBorder="1" applyAlignment="1">
      <alignment horizontal="center" vertical="center"/>
    </xf>
    <xf numFmtId="0" fontId="5" fillId="0" borderId="2" xfId="0" applyFont="1" applyFill="1" applyBorder="1" applyAlignment="1">
      <alignment vertical="center" wrapText="1"/>
    </xf>
    <xf numFmtId="0" fontId="5" fillId="0"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6" borderId="2" xfId="0" applyFont="1" applyFill="1" applyBorder="1" applyAlignment="1">
      <alignment horizontal="center" vertical="center"/>
    </xf>
    <xf numFmtId="0" fontId="4" fillId="0" borderId="0" xfId="0" applyFont="1" applyBorder="1">
      <alignment vertical="center"/>
    </xf>
    <xf numFmtId="0" fontId="5" fillId="6" borderId="1" xfId="0" quotePrefix="1" applyFont="1" applyFill="1" applyBorder="1" applyAlignment="1">
      <alignment horizontal="center" vertical="center" wrapText="1"/>
    </xf>
    <xf numFmtId="0" fontId="4" fillId="0" borderId="1" xfId="0" quotePrefix="1" applyFont="1" applyBorder="1" applyAlignment="1">
      <alignment horizontal="center" vertical="center" wrapText="1"/>
    </xf>
    <xf numFmtId="0" fontId="5" fillId="6" borderId="7" xfId="0" applyFont="1" applyFill="1" applyBorder="1" applyAlignment="1">
      <alignment horizontal="left" vertical="center" wrapText="1"/>
    </xf>
    <xf numFmtId="0" fontId="5" fillId="6" borderId="1" xfId="0" quotePrefix="1" applyFont="1" applyFill="1" applyBorder="1" applyAlignment="1">
      <alignment horizontal="center" vertical="center"/>
    </xf>
    <xf numFmtId="0" fontId="4" fillId="0" borderId="0" xfId="0" applyFont="1" applyAlignment="1">
      <alignment horizontal="center" vertical="center"/>
    </xf>
    <xf numFmtId="0" fontId="5" fillId="6" borderId="5" xfId="0" applyFont="1" applyFill="1" applyBorder="1" applyAlignment="1">
      <alignment horizontal="left"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4" fillId="0" borderId="1" xfId="0" applyFont="1" applyBorder="1" applyAlignment="1">
      <alignment vertical="center" wrapText="1"/>
    </xf>
    <xf numFmtId="0" fontId="5" fillId="0" borderId="7" xfId="0" applyFont="1" applyBorder="1" applyAlignment="1">
      <alignment horizontal="center" vertical="center" wrapText="1"/>
    </xf>
    <xf numFmtId="0" fontId="4" fillId="0" borderId="8" xfId="0" applyFont="1" applyBorder="1" applyAlignment="1">
      <alignment horizontal="center" vertical="center" wrapText="1"/>
    </xf>
    <xf numFmtId="0" fontId="5" fillId="6" borderId="3" xfId="0"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5" fillId="0" borderId="8" xfId="0" applyFont="1" applyBorder="1" applyAlignment="1">
      <alignment horizontal="left" vertical="center" wrapText="1"/>
    </xf>
    <xf numFmtId="0" fontId="4" fillId="0" borderId="3" xfId="0" applyFont="1" applyBorder="1" applyAlignment="1">
      <alignment horizontal="center" vertical="center" wrapText="1"/>
    </xf>
    <xf numFmtId="0" fontId="5" fillId="0" borderId="1" xfId="0" quotePrefix="1" applyFont="1" applyBorder="1" applyAlignment="1">
      <alignment horizontal="center" vertical="center" wrapText="1"/>
    </xf>
    <xf numFmtId="0" fontId="4" fillId="0" borderId="3" xfId="0" applyFont="1" applyBorder="1" applyAlignment="1">
      <alignment horizontal="center" vertical="center"/>
    </xf>
    <xf numFmtId="0" fontId="4" fillId="6" borderId="1" xfId="0" applyFont="1" applyFill="1" applyBorder="1" applyAlignment="1">
      <alignment horizontal="left" vertical="center" wrapText="1"/>
    </xf>
    <xf numFmtId="0" fontId="5" fillId="0" borderId="13" xfId="0" applyFont="1" applyBorder="1" applyAlignment="1">
      <alignment horizontal="center" vertical="center" wrapText="1"/>
    </xf>
    <xf numFmtId="0" fontId="5" fillId="0" borderId="5" xfId="0" applyFont="1" applyFill="1" applyBorder="1" applyAlignment="1">
      <alignment horizontal="left" vertical="center" wrapText="1"/>
    </xf>
    <xf numFmtId="0" fontId="4" fillId="0" borderId="0" xfId="0" applyFont="1" applyFill="1" applyBorder="1">
      <alignment vertical="center"/>
    </xf>
    <xf numFmtId="0" fontId="4" fillId="0" borderId="0" xfId="0" applyFont="1" applyFill="1" applyAlignment="1">
      <alignment horizontal="center" vertical="center"/>
    </xf>
    <xf numFmtId="0" fontId="19" fillId="0" borderId="1" xfId="0" applyFont="1" applyFill="1" applyBorder="1" applyAlignment="1">
      <alignment horizontal="left" vertical="center" wrapText="1"/>
    </xf>
    <xf numFmtId="0" fontId="5" fillId="0" borderId="1" xfId="1" applyFont="1" applyBorder="1" applyAlignment="1">
      <alignment horizontal="center" vertical="center"/>
    </xf>
    <xf numFmtId="0" fontId="5" fillId="0" borderId="1" xfId="1" applyFont="1" applyBorder="1" applyAlignment="1">
      <alignment horizontal="left" vertical="center" wrapText="1"/>
    </xf>
    <xf numFmtId="0" fontId="5" fillId="0" borderId="1" xfId="1" applyFont="1" applyBorder="1" applyAlignment="1">
      <alignment horizontal="center" vertical="center" wrapText="1"/>
    </xf>
    <xf numFmtId="0" fontId="18" fillId="0" borderId="1" xfId="1" applyFont="1" applyBorder="1" applyAlignment="1">
      <alignment horizontal="center" vertical="center" wrapText="1"/>
    </xf>
    <xf numFmtId="0" fontId="4" fillId="0" borderId="1" xfId="0" applyFont="1" applyFill="1" applyBorder="1">
      <alignment vertical="center"/>
    </xf>
    <xf numFmtId="0" fontId="4" fillId="0" borderId="1" xfId="0" applyFont="1" applyFill="1" applyBorder="1" applyAlignment="1">
      <alignment horizontal="left" vertical="center" wrapText="1"/>
    </xf>
    <xf numFmtId="0" fontId="4" fillId="0" borderId="0" xfId="0" applyFont="1" applyFill="1">
      <alignment vertical="center"/>
    </xf>
    <xf numFmtId="0" fontId="21" fillId="0" borderId="1" xfId="4" applyFont="1" applyFill="1" applyBorder="1" applyAlignment="1">
      <alignment horizontal="center" vertical="center" wrapText="1"/>
    </xf>
    <xf numFmtId="0" fontId="4" fillId="0" borderId="1" xfId="0" applyFont="1" applyBorder="1">
      <alignment vertical="center"/>
    </xf>
    <xf numFmtId="0" fontId="5" fillId="6" borderId="1" xfId="0" quotePrefix="1" applyFont="1" applyFill="1" applyBorder="1" applyAlignment="1">
      <alignment horizontal="left" vertical="center" wrapText="1"/>
    </xf>
    <xf numFmtId="49" fontId="5" fillId="0" borderId="1" xfId="2" applyNumberFormat="1" applyFont="1" applyFill="1" applyBorder="1" applyAlignment="1">
      <alignment horizontal="left" vertical="center" wrapText="1"/>
    </xf>
    <xf numFmtId="49" fontId="4" fillId="6" borderId="1" xfId="0" applyNumberFormat="1" applyFont="1" applyFill="1" applyBorder="1" applyAlignment="1">
      <alignment horizontal="left" vertical="center" wrapText="1"/>
    </xf>
    <xf numFmtId="49" fontId="4" fillId="6"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xf>
    <xf numFmtId="49" fontId="4" fillId="6" borderId="1" xfId="0" applyNumberFormat="1" applyFont="1" applyFill="1" applyBorder="1" applyAlignment="1">
      <alignment vertical="center" wrapText="1"/>
    </xf>
    <xf numFmtId="0" fontId="4" fillId="0" borderId="2" xfId="0" applyFont="1" applyBorder="1" applyAlignment="1">
      <alignment horizontal="left" vertical="center" wrapText="1"/>
    </xf>
    <xf numFmtId="0" fontId="4" fillId="0" borderId="2" xfId="0" applyFont="1" applyBorder="1" applyAlignment="1">
      <alignment vertical="center" wrapText="1"/>
    </xf>
    <xf numFmtId="0" fontId="5" fillId="6" borderId="3" xfId="0" applyFont="1" applyFill="1" applyBorder="1" applyAlignment="1">
      <alignment horizontal="center" vertical="center"/>
    </xf>
    <xf numFmtId="0" fontId="5" fillId="0" borderId="3" xfId="0" applyFont="1" applyFill="1" applyBorder="1" applyAlignment="1">
      <alignment horizontal="center" vertical="center" wrapText="1"/>
    </xf>
    <xf numFmtId="0" fontId="4" fillId="0" borderId="4" xfId="0" applyFont="1" applyBorder="1" applyAlignment="1">
      <alignment horizontal="center" vertical="center"/>
    </xf>
    <xf numFmtId="0" fontId="5" fillId="0" borderId="0" xfId="0" applyFont="1" applyAlignment="1">
      <alignment horizontal="center" vertical="center"/>
    </xf>
    <xf numFmtId="0" fontId="4" fillId="6" borderId="1" xfId="0" quotePrefix="1" applyFont="1" applyFill="1" applyBorder="1" applyAlignment="1">
      <alignment horizontal="center"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0" borderId="1" xfId="0" quotePrefix="1" applyFont="1" applyBorder="1" applyAlignment="1">
      <alignment horizontal="left" vertical="center" wrapText="1"/>
    </xf>
    <xf numFmtId="0" fontId="4" fillId="6" borderId="1" xfId="3" applyFont="1" applyFill="1" applyBorder="1" applyAlignment="1">
      <alignment horizontal="left" vertical="center" wrapText="1"/>
    </xf>
    <xf numFmtId="0" fontId="4" fillId="6" borderId="1" xfId="3" applyFont="1" applyFill="1" applyBorder="1" applyAlignment="1">
      <alignment horizontal="center" vertical="center" wrapText="1"/>
    </xf>
    <xf numFmtId="0" fontId="4" fillId="6" borderId="1" xfId="3" applyFont="1" applyFill="1" applyBorder="1" applyAlignment="1">
      <alignment horizontal="center" vertical="center"/>
    </xf>
    <xf numFmtId="0" fontId="17" fillId="0" borderId="1" xfId="0" applyFont="1" applyFill="1" applyBorder="1" applyAlignment="1">
      <alignment horizontal="center" vertical="center" wrapText="1"/>
    </xf>
    <xf numFmtId="0" fontId="5" fillId="6" borderId="1" xfId="0" quotePrefix="1" applyFont="1" applyFill="1" applyBorder="1" applyAlignment="1">
      <alignment vertical="center" wrapText="1"/>
    </xf>
    <xf numFmtId="0" fontId="18" fillId="0" borderId="1" xfId="0" quotePrefix="1" applyFont="1" applyBorder="1" applyAlignment="1">
      <alignment horizontal="center" vertical="center" wrapText="1"/>
    </xf>
    <xf numFmtId="0" fontId="4" fillId="0" borderId="1" xfId="0" applyFont="1" applyBorder="1" applyAlignment="1">
      <alignment horizontal="left" vertical="center"/>
    </xf>
    <xf numFmtId="0" fontId="19" fillId="0" borderId="1" xfId="1" applyFont="1" applyBorder="1" applyAlignment="1">
      <alignment horizontal="center" vertical="center" wrapText="1"/>
    </xf>
    <xf numFmtId="0" fontId="0" fillId="0" borderId="0" xfId="0" applyFont="1" applyBorder="1" applyAlignment="1">
      <alignment vertical="top"/>
    </xf>
    <xf numFmtId="0" fontId="27" fillId="11" borderId="1" xfId="0" applyFont="1" applyFill="1" applyBorder="1" applyAlignment="1">
      <alignment horizontal="center" vertical="center" wrapText="1"/>
    </xf>
    <xf numFmtId="0" fontId="24" fillId="0" borderId="1" xfId="0" applyFont="1" applyFill="1" applyBorder="1" applyAlignment="1">
      <alignment horizontal="left" vertical="center" wrapText="1"/>
    </xf>
    <xf numFmtId="0" fontId="26"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0" fillId="0" borderId="1" xfId="0" applyFill="1" applyBorder="1" applyAlignment="1">
      <alignment horizontal="center" vertical="center"/>
    </xf>
    <xf numFmtId="0" fontId="0" fillId="0" borderId="1" xfId="0" applyFill="1" applyBorder="1" applyAlignment="1">
      <alignment horizontal="left" vertical="center" wrapText="1"/>
    </xf>
    <xf numFmtId="0" fontId="0" fillId="0" borderId="1" xfId="0" applyFill="1" applyBorder="1" applyAlignment="1">
      <alignment horizontal="center" vertical="center" wrapText="1"/>
    </xf>
    <xf numFmtId="0" fontId="11" fillId="0" borderId="0" xfId="0" applyFont="1" applyFill="1" applyBorder="1">
      <alignment vertical="center"/>
    </xf>
    <xf numFmtId="0" fontId="11" fillId="0" borderId="0" xfId="0" applyFont="1" applyFill="1">
      <alignment vertical="center"/>
    </xf>
    <xf numFmtId="0" fontId="0" fillId="0" borderId="0" xfId="0" applyFont="1" applyFill="1" applyBorder="1">
      <alignment vertical="center"/>
    </xf>
    <xf numFmtId="0" fontId="5" fillId="0" borderId="8"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center" vertical="center"/>
    </xf>
    <xf numFmtId="0" fontId="5" fillId="0" borderId="7" xfId="0" applyFont="1" applyFill="1" applyBorder="1" applyAlignment="1">
      <alignment horizontal="left" vertical="center" wrapText="1"/>
    </xf>
    <xf numFmtId="0" fontId="5" fillId="0" borderId="7" xfId="0" applyFont="1" applyBorder="1" applyAlignment="1">
      <alignment vertical="center" wrapText="1"/>
    </xf>
    <xf numFmtId="0" fontId="5" fillId="0" borderId="7" xfId="0" applyFont="1" applyFill="1" applyBorder="1" applyAlignment="1">
      <alignment vertical="center" wrapText="1"/>
    </xf>
    <xf numFmtId="0" fontId="5" fillId="0" borderId="3" xfId="0" applyFont="1" applyFill="1" applyBorder="1" applyAlignment="1">
      <alignment vertical="center" wrapText="1"/>
    </xf>
    <xf numFmtId="0" fontId="5" fillId="0" borderId="8" xfId="0" applyFont="1" applyBorder="1" applyAlignment="1">
      <alignment horizontal="center" vertical="center" wrapText="1"/>
    </xf>
    <xf numFmtId="0" fontId="19" fillId="0" borderId="1" xfId="0" applyFont="1" applyBorder="1" applyAlignment="1">
      <alignment horizontal="center" vertical="center"/>
    </xf>
    <xf numFmtId="0" fontId="4" fillId="0" borderId="3" xfId="0" applyFont="1" applyBorder="1" applyAlignment="1">
      <alignment vertical="center" wrapText="1"/>
    </xf>
    <xf numFmtId="0" fontId="5" fillId="11" borderId="1" xfId="0" applyFont="1"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applyAlignment="1">
      <alignment horizontal="left" vertical="center" wrapText="1"/>
    </xf>
    <xf numFmtId="0" fontId="0" fillId="11" borderId="1" xfId="0" applyFill="1" applyBorder="1" applyAlignment="1">
      <alignment horizontal="center" vertical="center" wrapText="1"/>
    </xf>
    <xf numFmtId="0" fontId="0" fillId="11" borderId="1" xfId="0" applyFill="1" applyBorder="1" applyAlignment="1">
      <alignmen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0" fillId="0" borderId="0" xfId="0" applyFont="1" applyBorder="1" applyAlignment="1">
      <alignment horizontal="center" vertical="center"/>
    </xf>
    <xf numFmtId="0" fontId="0" fillId="0" borderId="0" xfId="0" applyFont="1" applyBorder="1" applyAlignment="1">
      <alignment horizontal="center" vertical="top"/>
    </xf>
    <xf numFmtId="0" fontId="4" fillId="0" borderId="0" xfId="0" applyFont="1" applyFill="1" applyBorder="1" applyAlignment="1">
      <alignment horizontal="center" vertical="center"/>
    </xf>
    <xf numFmtId="0" fontId="5" fillId="0" borderId="0" xfId="0" applyFont="1" applyFill="1" applyAlignment="1">
      <alignment horizontal="center" vertical="center"/>
    </xf>
    <xf numFmtId="0" fontId="5" fillId="0" borderId="0" xfId="0" applyFont="1" applyFill="1" applyBorder="1" applyAlignment="1">
      <alignment horizontal="center" vertical="center"/>
    </xf>
    <xf numFmtId="0" fontId="11" fillId="0" borderId="0" xfId="0" applyFont="1" applyFill="1" applyAlignment="1">
      <alignment horizontal="center" vertical="center"/>
    </xf>
    <xf numFmtId="0" fontId="0" fillId="0" borderId="0" xfId="0" applyFont="1" applyFill="1" applyBorder="1" applyAlignment="1">
      <alignment horizontal="center" vertical="center"/>
    </xf>
    <xf numFmtId="0" fontId="4" fillId="11" borderId="1" xfId="0" applyFont="1" applyFill="1" applyBorder="1" applyAlignment="1">
      <alignment horizontal="left" vertical="center" wrapText="1"/>
    </xf>
    <xf numFmtId="0" fontId="5" fillId="11" borderId="1" xfId="1" applyFont="1" applyFill="1" applyBorder="1" applyAlignment="1">
      <alignment horizontal="center" vertical="center" wrapText="1"/>
    </xf>
    <xf numFmtId="0" fontId="6" fillId="11" borderId="1" xfId="0" applyFont="1" applyFill="1" applyBorder="1" applyAlignment="1">
      <alignment horizontal="center" vertical="center"/>
    </xf>
    <xf numFmtId="0" fontId="5" fillId="11" borderId="1" xfId="0" applyFont="1" applyFill="1" applyBorder="1" applyAlignment="1">
      <alignment horizontal="left" vertical="center" wrapText="1"/>
    </xf>
    <xf numFmtId="0" fontId="5" fillId="11" borderId="5" xfId="0" applyFont="1" applyFill="1" applyBorder="1" applyAlignment="1">
      <alignment horizontal="center" vertical="center" wrapText="1"/>
    </xf>
    <xf numFmtId="0" fontId="5" fillId="11" borderId="1" xfId="0" applyFont="1" applyFill="1" applyBorder="1" applyAlignment="1">
      <alignment vertical="center" wrapText="1"/>
    </xf>
    <xf numFmtId="0" fontId="26" fillId="11"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6" borderId="1" xfId="0" applyFont="1" applyFill="1" applyBorder="1" applyAlignment="1">
      <alignment horizontal="center" vertical="center"/>
    </xf>
    <xf numFmtId="0" fontId="6" fillId="0" borderId="1" xfId="0" applyFont="1" applyBorder="1" applyAlignment="1">
      <alignment horizontal="left" vertical="center" wrapText="1"/>
    </xf>
    <xf numFmtId="0" fontId="6" fillId="11"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6" fillId="11" borderId="1" xfId="0" applyFont="1" applyFill="1" applyBorder="1" applyAlignment="1">
      <alignment vertical="center" wrapText="1"/>
    </xf>
    <xf numFmtId="0" fontId="5" fillId="11" borderId="2" xfId="0" applyFont="1" applyFill="1" applyBorder="1" applyAlignment="1">
      <alignment horizontal="center" vertical="center" wrapText="1"/>
    </xf>
    <xf numFmtId="0" fontId="0" fillId="0" borderId="0" xfId="0" applyBorder="1">
      <alignment vertical="center"/>
    </xf>
    <xf numFmtId="0" fontId="0" fillId="0" borderId="20" xfId="0" applyBorder="1">
      <alignment vertical="center"/>
    </xf>
    <xf numFmtId="0" fontId="0" fillId="0" borderId="20" xfId="0" applyBorder="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 fillId="0" borderId="20" xfId="0" applyFont="1" applyBorder="1">
      <alignment vertical="center"/>
    </xf>
    <xf numFmtId="0" fontId="3" fillId="0" borderId="1" xfId="0" applyFont="1" applyBorder="1">
      <alignment vertical="center"/>
    </xf>
    <xf numFmtId="0" fontId="3" fillId="0" borderId="0" xfId="0" applyFont="1">
      <alignment vertical="center"/>
    </xf>
    <xf numFmtId="0" fontId="3" fillId="0" borderId="13" xfId="0" applyFont="1" applyBorder="1">
      <alignment vertical="center"/>
    </xf>
    <xf numFmtId="0" fontId="32" fillId="11" borderId="10" xfId="0" applyFont="1" applyFill="1" applyBorder="1" applyAlignment="1">
      <alignment horizontal="center" vertical="center"/>
    </xf>
    <xf numFmtId="0" fontId="6" fillId="0" borderId="1" xfId="0" applyFont="1" applyBorder="1">
      <alignment vertical="center"/>
    </xf>
    <xf numFmtId="0" fontId="6" fillId="0" borderId="0" xfId="0" applyFont="1">
      <alignment vertical="center"/>
    </xf>
    <xf numFmtId="0" fontId="6" fillId="0" borderId="20" xfId="0" applyFont="1" applyBorder="1" applyAlignment="1">
      <alignment horizontal="center" vertical="center"/>
    </xf>
    <xf numFmtId="0" fontId="6" fillId="0" borderId="20" xfId="0" applyFont="1" applyBorder="1">
      <alignment vertical="center"/>
    </xf>
    <xf numFmtId="0" fontId="6" fillId="0" borderId="13" xfId="0" applyFont="1" applyBorder="1">
      <alignment vertical="center"/>
    </xf>
    <xf numFmtId="0" fontId="3" fillId="11" borderId="1" xfId="0" applyFont="1" applyFill="1" applyBorder="1" applyAlignment="1">
      <alignment horizontal="center" vertical="center"/>
    </xf>
    <xf numFmtId="0" fontId="33" fillId="11" borderId="1" xfId="0" applyFont="1" applyFill="1" applyBorder="1" applyAlignment="1">
      <alignment horizontal="center" vertical="center"/>
    </xf>
    <xf numFmtId="0" fontId="33" fillId="11" borderId="1" xfId="0" applyFont="1" applyFill="1" applyBorder="1" applyAlignment="1">
      <alignment horizontal="center" vertical="center" wrapText="1"/>
    </xf>
    <xf numFmtId="0" fontId="34" fillId="11" borderId="1" xfId="0" applyFont="1" applyFill="1" applyBorder="1" applyAlignment="1">
      <alignment horizontal="center" vertical="center" wrapText="1"/>
    </xf>
    <xf numFmtId="0" fontId="34" fillId="11" borderId="1" xfId="0" applyFont="1" applyFill="1" applyBorder="1" applyAlignment="1">
      <alignment horizontal="center" vertical="center"/>
    </xf>
    <xf numFmtId="0" fontId="5" fillId="11" borderId="1" xfId="0" quotePrefix="1" applyFont="1" applyFill="1" applyBorder="1" applyAlignment="1">
      <alignment horizontal="left" vertical="center" wrapText="1"/>
    </xf>
    <xf numFmtId="0" fontId="5" fillId="11" borderId="2" xfId="0" applyFont="1" applyFill="1" applyBorder="1" applyAlignment="1">
      <alignment vertical="center" wrapText="1"/>
    </xf>
    <xf numFmtId="0" fontId="0" fillId="0" borderId="1" xfId="0" applyBorder="1" applyAlignment="1">
      <alignment horizontal="center" vertical="center"/>
    </xf>
    <xf numFmtId="0" fontId="33" fillId="11" borderId="1" xfId="0" applyFont="1"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5" fillId="11" borderId="8" xfId="0" applyFont="1" applyFill="1" applyBorder="1" applyAlignment="1">
      <alignment horizontal="left" vertical="center" wrapText="1"/>
    </xf>
    <xf numFmtId="0" fontId="21" fillId="11" borderId="1" xfId="4" applyFont="1" applyFill="1" applyBorder="1" applyAlignment="1">
      <alignment horizontal="center" vertical="center" wrapText="1"/>
    </xf>
    <xf numFmtId="0" fontId="4" fillId="11" borderId="1" xfId="0" applyFont="1" applyFill="1" applyBorder="1" applyAlignment="1">
      <alignment vertical="center" wrapText="1"/>
    </xf>
    <xf numFmtId="0" fontId="4" fillId="0" borderId="1" xfId="0" quotePrefix="1" applyFont="1" applyBorder="1" applyAlignment="1">
      <alignment horizontal="left" vertical="center" wrapText="1"/>
    </xf>
    <xf numFmtId="0" fontId="3" fillId="11" borderId="10" xfId="0" applyFont="1" applyFill="1" applyBorder="1" applyAlignment="1">
      <alignment horizontal="center" vertical="center"/>
    </xf>
    <xf numFmtId="49" fontId="5" fillId="11" borderId="1" xfId="2" applyNumberFormat="1" applyFont="1" applyFill="1" applyBorder="1" applyAlignment="1">
      <alignment horizontal="left" vertical="center" wrapText="1"/>
    </xf>
    <xf numFmtId="0" fontId="28" fillId="0" borderId="20" xfId="0" applyFont="1" applyBorder="1" applyAlignment="1">
      <alignment horizontal="center" vertical="center"/>
    </xf>
    <xf numFmtId="0" fontId="3" fillId="0" borderId="20" xfId="0" applyFont="1" applyBorder="1" applyAlignment="1">
      <alignment horizontal="center" vertical="center"/>
    </xf>
    <xf numFmtId="0" fontId="32" fillId="0" borderId="20" xfId="0" applyFont="1" applyBorder="1" applyAlignment="1">
      <alignment horizontal="center" vertical="center"/>
    </xf>
    <xf numFmtId="0" fontId="0" fillId="0" borderId="0" xfId="0" applyBorder="1" applyAlignment="1">
      <alignment horizontal="center" vertical="center"/>
    </xf>
    <xf numFmtId="0" fontId="3" fillId="0" borderId="0" xfId="0" applyFont="1" applyBorder="1" applyAlignment="1">
      <alignment horizontal="center" vertical="center"/>
    </xf>
    <xf numFmtId="0" fontId="11" fillId="0" borderId="1" xfId="0" applyFont="1" applyBorder="1" applyAlignment="1">
      <alignment horizontal="center" vertical="center"/>
    </xf>
    <xf numFmtId="0" fontId="31" fillId="0" borderId="1" xfId="0" applyFont="1" applyBorder="1" applyAlignment="1">
      <alignment horizontal="center" vertical="center"/>
    </xf>
    <xf numFmtId="0" fontId="28" fillId="13" borderId="10" xfId="0" applyFont="1" applyFill="1" applyBorder="1" applyAlignment="1">
      <alignment horizontal="center" vertical="center"/>
    </xf>
    <xf numFmtId="0" fontId="3" fillId="13" borderId="10" xfId="0" applyFont="1" applyFill="1" applyBorder="1" applyAlignment="1">
      <alignment horizontal="center" vertical="center"/>
    </xf>
    <xf numFmtId="0" fontId="32" fillId="13" borderId="10" xfId="0" applyFont="1" applyFill="1" applyBorder="1" applyAlignment="1">
      <alignment horizontal="center" vertical="center"/>
    </xf>
    <xf numFmtId="0" fontId="3" fillId="13" borderId="1" xfId="0" applyFont="1" applyFill="1" applyBorder="1" applyAlignment="1">
      <alignment horizontal="center" vertical="center"/>
    </xf>
    <xf numFmtId="0" fontId="28" fillId="13" borderId="1" xfId="0" applyFont="1" applyFill="1" applyBorder="1" applyAlignment="1">
      <alignment horizontal="center" vertical="center"/>
    </xf>
    <xf numFmtId="0" fontId="32" fillId="13" borderId="1" xfId="0" applyFont="1" applyFill="1" applyBorder="1" applyAlignment="1">
      <alignment horizontal="center" vertical="center"/>
    </xf>
    <xf numFmtId="0" fontId="28" fillId="0" borderId="0" xfId="0" applyFont="1" applyAlignment="1">
      <alignment horizontal="center" vertical="center"/>
    </xf>
    <xf numFmtId="0" fontId="32" fillId="0" borderId="0" xfId="0" applyFont="1" applyAlignment="1">
      <alignment horizontal="center" vertical="center"/>
    </xf>
    <xf numFmtId="0" fontId="11" fillId="0" borderId="13" xfId="0" applyFont="1" applyBorder="1" applyAlignment="1">
      <alignment horizontal="center" vertical="center"/>
    </xf>
    <xf numFmtId="0" fontId="28" fillId="14" borderId="1" xfId="0" applyFont="1" applyFill="1" applyBorder="1" applyAlignment="1">
      <alignment horizontal="center" vertical="center"/>
    </xf>
    <xf numFmtId="0" fontId="3" fillId="14" borderId="1" xfId="0" applyFont="1" applyFill="1" applyBorder="1" applyAlignment="1">
      <alignment horizontal="center" vertical="center"/>
    </xf>
    <xf numFmtId="0" fontId="32" fillId="14" borderId="1" xfId="0" applyFont="1" applyFill="1" applyBorder="1" applyAlignment="1">
      <alignment horizontal="center" vertical="center"/>
    </xf>
    <xf numFmtId="0" fontId="3" fillId="0" borderId="0" xfId="0" applyFont="1" applyFill="1" applyAlignment="1">
      <alignment horizontal="center" vertical="center"/>
    </xf>
    <xf numFmtId="0" fontId="3" fillId="0" borderId="21"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0" xfId="0" applyFont="1" applyBorder="1" applyAlignment="1">
      <alignment horizontal="center" vertical="center"/>
    </xf>
    <xf numFmtId="0" fontId="3" fillId="0" borderId="23" xfId="0" applyFont="1" applyBorder="1" applyAlignment="1">
      <alignment horizontal="center" vertical="center"/>
    </xf>
    <xf numFmtId="0" fontId="3" fillId="13" borderId="13" xfId="0" applyFont="1" applyFill="1" applyBorder="1" applyAlignment="1">
      <alignment horizontal="center" vertical="center"/>
    </xf>
    <xf numFmtId="0" fontId="35" fillId="12" borderId="1" xfId="0" applyFont="1" applyFill="1" applyBorder="1" applyAlignment="1">
      <alignment horizontal="center" vertical="center"/>
    </xf>
    <xf numFmtId="0" fontId="4" fillId="15" borderId="1" xfId="0" applyFont="1" applyFill="1" applyBorder="1" applyAlignment="1">
      <alignment horizontal="left" vertical="center" wrapText="1"/>
    </xf>
    <xf numFmtId="0" fontId="0" fillId="11" borderId="1" xfId="0" applyFont="1" applyFill="1" applyBorder="1" applyAlignment="1">
      <alignment horizontal="center" vertical="center"/>
    </xf>
    <xf numFmtId="0" fontId="0" fillId="11" borderId="1" xfId="0" applyFont="1" applyFill="1" applyBorder="1" applyAlignment="1">
      <alignment horizontal="left" vertical="center" wrapText="1"/>
    </xf>
    <xf numFmtId="0" fontId="0" fillId="11" borderId="1" xfId="0" applyFont="1" applyFill="1" applyBorder="1" applyAlignment="1">
      <alignment horizontal="center" vertical="center" wrapText="1"/>
    </xf>
    <xf numFmtId="0" fontId="0" fillId="11" borderId="1" xfId="0" applyFont="1" applyFill="1" applyBorder="1" applyAlignment="1">
      <alignment vertical="center" wrapText="1"/>
    </xf>
    <xf numFmtId="0" fontId="0" fillId="16" borderId="0" xfId="0" applyFill="1" applyBorder="1" applyAlignment="1">
      <alignment horizontal="center" vertical="center"/>
    </xf>
    <xf numFmtId="0" fontId="4" fillId="0" borderId="0" xfId="0" applyFont="1" applyBorder="1" applyAlignment="1">
      <alignment horizontal="left" vertical="center" wrapText="1"/>
    </xf>
    <xf numFmtId="0" fontId="5" fillId="0" borderId="17" xfId="0" applyFont="1" applyBorder="1" applyAlignment="1">
      <alignment horizontal="left" vertical="center" wrapText="1"/>
    </xf>
    <xf numFmtId="0" fontId="5" fillId="0" borderId="1" xfId="0" quotePrefix="1"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14" xfId="0" applyFont="1" applyBorder="1" applyAlignment="1">
      <alignment horizontal="center" vertical="center" wrapText="1"/>
    </xf>
    <xf numFmtId="0" fontId="5" fillId="0" borderId="1" xfId="0" quotePrefix="1" applyFont="1" applyFill="1" applyBorder="1" applyAlignment="1">
      <alignment horizontal="center" vertical="center" wrapText="1"/>
    </xf>
    <xf numFmtId="0" fontId="5" fillId="11" borderId="8" xfId="0" applyFont="1" applyFill="1" applyBorder="1" applyAlignment="1">
      <alignment horizontal="center" vertical="center" wrapText="1"/>
    </xf>
    <xf numFmtId="0" fontId="0" fillId="11" borderId="2" xfId="0" applyFill="1" applyBorder="1" applyAlignment="1">
      <alignment horizontal="center" vertical="center"/>
    </xf>
    <xf numFmtId="0" fontId="33" fillId="11" borderId="4" xfId="0" applyFont="1" applyFill="1" applyBorder="1" applyAlignment="1">
      <alignment horizontal="center" vertical="center"/>
    </xf>
    <xf numFmtId="0" fontId="5" fillId="0" borderId="3" xfId="0" applyFont="1" applyBorder="1" applyAlignment="1">
      <alignment vertical="center" wrapText="1"/>
    </xf>
    <xf numFmtId="0" fontId="5" fillId="11" borderId="3" xfId="0" applyFont="1" applyFill="1" applyBorder="1" applyAlignment="1">
      <alignment vertical="center" wrapText="1"/>
    </xf>
    <xf numFmtId="0" fontId="0" fillId="11" borderId="2" xfId="0" applyFill="1" applyBorder="1" applyAlignment="1">
      <alignment vertical="center" wrapText="1"/>
    </xf>
    <xf numFmtId="0" fontId="5" fillId="0" borderId="0" xfId="0" applyFont="1" applyBorder="1" applyAlignment="1">
      <alignment horizontal="center" vertical="center" wrapText="1"/>
    </xf>
    <xf numFmtId="0" fontId="33" fillId="11" borderId="3" xfId="0" applyFont="1" applyFill="1" applyBorder="1" applyAlignment="1">
      <alignment horizontal="center" vertical="center"/>
    </xf>
    <xf numFmtId="0" fontId="0" fillId="11" borderId="3" xfId="0" applyFill="1" applyBorder="1" applyAlignment="1">
      <alignment horizontal="center" vertical="center"/>
    </xf>
    <xf numFmtId="0" fontId="0" fillId="11" borderId="2" xfId="0" applyFill="1" applyBorder="1" applyAlignment="1">
      <alignment horizontal="center" vertical="center" wrapText="1"/>
    </xf>
    <xf numFmtId="0" fontId="33" fillId="0" borderId="1" xfId="0" applyFont="1" applyFill="1" applyBorder="1" applyAlignment="1">
      <alignment horizontal="center" vertical="center"/>
    </xf>
    <xf numFmtId="0" fontId="33" fillId="0" borderId="1" xfId="0" applyFont="1" applyBorder="1" applyAlignment="1">
      <alignment horizontal="center" vertical="center"/>
    </xf>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0" fontId="36" fillId="11" borderId="1" xfId="0" applyFont="1" applyFill="1" applyBorder="1" applyAlignment="1">
      <alignment horizontal="center" vertical="center" wrapText="1"/>
    </xf>
    <xf numFmtId="0" fontId="11" fillId="0" borderId="0" xfId="0" applyFont="1" applyAlignment="1">
      <alignment horizontal="center" vertical="center"/>
    </xf>
    <xf numFmtId="0" fontId="31" fillId="0" borderId="0" xfId="0" applyFont="1" applyAlignment="1">
      <alignment horizontal="center" vertical="center"/>
    </xf>
    <xf numFmtId="0" fontId="5" fillId="7" borderId="1" xfId="0" quotePrefix="1" applyFont="1" applyFill="1" applyBorder="1" applyAlignment="1">
      <alignment horizontal="left" vertical="center" wrapText="1"/>
    </xf>
    <xf numFmtId="0" fontId="4" fillId="0" borderId="8" xfId="0" applyFont="1" applyBorder="1" applyAlignment="1">
      <alignment horizontal="left" vertical="center" wrapText="1"/>
    </xf>
    <xf numFmtId="0" fontId="5" fillId="0" borderId="11" xfId="0" applyFont="1" applyBorder="1" applyAlignment="1">
      <alignment horizontal="left" vertical="center" wrapText="1"/>
    </xf>
    <xf numFmtId="0" fontId="5" fillId="0" borderId="4" xfId="0" applyFont="1" applyBorder="1" applyAlignment="1">
      <alignment horizontal="left" vertical="center" wrapText="1"/>
    </xf>
    <xf numFmtId="0" fontId="5" fillId="7" borderId="1" xfId="0" quotePrefix="1" applyFont="1" applyFill="1" applyBorder="1" applyAlignment="1">
      <alignment horizontal="center" vertical="center" wrapText="1"/>
    </xf>
    <xf numFmtId="0" fontId="4" fillId="0" borderId="16"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2" xfId="0" applyFont="1" applyFill="1" applyBorder="1" applyAlignment="1">
      <alignment horizontal="center" vertical="center"/>
    </xf>
    <xf numFmtId="0" fontId="5" fillId="8" borderId="7" xfId="0" applyFont="1" applyFill="1" applyBorder="1" applyAlignment="1">
      <alignment horizontal="left" vertical="center" wrapText="1"/>
    </xf>
    <xf numFmtId="0" fontId="5" fillId="0" borderId="12" xfId="0" applyFont="1" applyBorder="1" applyAlignment="1">
      <alignment horizontal="left" vertical="center" wrapText="1"/>
    </xf>
    <xf numFmtId="0" fontId="4" fillId="0" borderId="2"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5" fillId="11" borderId="3" xfId="0" applyFont="1" applyFill="1" applyBorder="1" applyAlignment="1">
      <alignment horizontal="center" vertical="center"/>
    </xf>
    <xf numFmtId="0" fontId="5" fillId="6" borderId="3" xfId="0" applyFont="1" applyFill="1" applyBorder="1" applyAlignment="1">
      <alignment horizontal="center" vertical="center" wrapText="1"/>
    </xf>
    <xf numFmtId="0" fontId="5" fillId="11" borderId="2" xfId="0" applyFont="1" applyFill="1" applyBorder="1" applyAlignment="1">
      <alignment horizontal="center" vertical="center"/>
    </xf>
    <xf numFmtId="0" fontId="5" fillId="11" borderId="3" xfId="1" applyFont="1" applyFill="1" applyBorder="1" applyAlignment="1">
      <alignment horizontal="center" vertical="center"/>
    </xf>
    <xf numFmtId="0" fontId="6" fillId="11" borderId="3" xfId="0" applyFont="1" applyFill="1" applyBorder="1" applyAlignment="1">
      <alignment horizontal="center" vertical="center"/>
    </xf>
    <xf numFmtId="0" fontId="33" fillId="0" borderId="2" xfId="0" applyFont="1" applyBorder="1" applyAlignment="1">
      <alignment horizontal="center" vertical="center"/>
    </xf>
    <xf numFmtId="0" fontId="5" fillId="0" borderId="10" xfId="0" applyFont="1" applyFill="1" applyBorder="1" applyAlignment="1">
      <alignment horizontal="center" vertical="center"/>
    </xf>
    <xf numFmtId="0" fontId="33" fillId="11" borderId="3" xfId="0" applyFont="1" applyFill="1" applyBorder="1" applyAlignment="1">
      <alignment horizontal="center" vertical="center" wrapText="1"/>
    </xf>
    <xf numFmtId="0" fontId="0" fillId="11" borderId="2" xfId="0" applyFill="1" applyBorder="1" applyAlignment="1">
      <alignment horizontal="left" vertical="center" wrapText="1"/>
    </xf>
    <xf numFmtId="0" fontId="18" fillId="0" borderId="1" xfId="1" applyFont="1" applyBorder="1" applyAlignment="1">
      <alignment horizontal="left" vertical="center" wrapText="1"/>
    </xf>
    <xf numFmtId="0" fontId="5" fillId="7" borderId="5" xfId="0" quotePrefix="1" applyFont="1" applyFill="1" applyBorder="1" applyAlignment="1">
      <alignment horizontal="left" vertical="center" wrapText="1"/>
    </xf>
    <xf numFmtId="0" fontId="4" fillId="6" borderId="5" xfId="0" applyFont="1" applyFill="1" applyBorder="1" applyAlignment="1">
      <alignment horizontal="left" vertical="center" wrapText="1"/>
    </xf>
    <xf numFmtId="0" fontId="5" fillId="0" borderId="16" xfId="0" applyFont="1" applyBorder="1" applyAlignment="1">
      <alignment horizontal="left" vertical="center" wrapText="1"/>
    </xf>
    <xf numFmtId="0" fontId="5" fillId="0" borderId="10" xfId="0" applyFont="1" applyFill="1" applyBorder="1" applyAlignment="1">
      <alignment horizontal="left" vertical="center" wrapText="1"/>
    </xf>
    <xf numFmtId="0" fontId="0" fillId="11" borderId="9" xfId="0" applyFill="1" applyBorder="1" applyAlignment="1">
      <alignment horizontal="left" vertical="center" wrapText="1"/>
    </xf>
    <xf numFmtId="0" fontId="5" fillId="0" borderId="14" xfId="0" applyFont="1" applyBorder="1" applyAlignment="1">
      <alignment horizontal="left" vertical="center" wrapText="1"/>
    </xf>
    <xf numFmtId="0" fontId="33" fillId="0" borderId="2" xfId="0" applyFont="1" applyBorder="1" applyAlignment="1">
      <alignment horizontal="left" vertical="center" wrapText="1"/>
    </xf>
    <xf numFmtId="0" fontId="5" fillId="0" borderId="5" xfId="0" quotePrefix="1" applyFont="1" applyFill="1" applyBorder="1" applyAlignment="1">
      <alignment horizontal="left" vertical="center" wrapText="1"/>
    </xf>
    <xf numFmtId="0" fontId="5" fillId="11" borderId="2" xfId="1" applyFont="1" applyFill="1" applyBorder="1" applyAlignment="1">
      <alignment horizontal="left" vertical="center" wrapText="1"/>
    </xf>
    <xf numFmtId="0" fontId="33" fillId="11" borderId="2" xfId="0" quotePrefix="1" applyFont="1" applyFill="1" applyBorder="1" applyAlignment="1">
      <alignment horizontal="left" vertical="center" wrapText="1"/>
    </xf>
    <xf numFmtId="0" fontId="4" fillId="0" borderId="7" xfId="0" applyFont="1" applyBorder="1" applyAlignment="1">
      <alignment horizontal="center" vertical="center" wrapText="1"/>
    </xf>
    <xf numFmtId="0" fontId="5" fillId="7" borderId="7" xfId="0" applyFont="1" applyFill="1" applyBorder="1" applyAlignment="1">
      <alignment horizontal="center" vertical="center" wrapText="1"/>
    </xf>
    <xf numFmtId="0" fontId="4" fillId="0" borderId="9" xfId="0" applyFont="1" applyBorder="1" applyAlignment="1">
      <alignment horizontal="center" vertical="center" wrapText="1"/>
    </xf>
    <xf numFmtId="0" fontId="5" fillId="7" borderId="5" xfId="0" quotePrefix="1" applyFont="1" applyFill="1" applyBorder="1" applyAlignment="1">
      <alignment horizontal="center" vertical="center" wrapText="1"/>
    </xf>
    <xf numFmtId="0" fontId="5" fillId="0" borderId="7" xfId="0" applyFont="1" applyFill="1" applyBorder="1" applyAlignment="1">
      <alignment horizontal="center" vertical="center"/>
    </xf>
    <xf numFmtId="0" fontId="4" fillId="6" borderId="5" xfId="0" applyFont="1" applyFill="1" applyBorder="1" applyAlignment="1">
      <alignment horizontal="center" vertical="center" wrapText="1"/>
    </xf>
    <xf numFmtId="0" fontId="5" fillId="7" borderId="17"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5" fillId="11"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5" fillId="0" borderId="5" xfId="0" quotePrefix="1" applyFont="1" applyFill="1" applyBorder="1" applyAlignment="1">
      <alignment horizontal="center" vertical="center" wrapText="1"/>
    </xf>
    <xf numFmtId="0" fontId="5" fillId="0" borderId="8" xfId="0" applyFont="1" applyFill="1" applyBorder="1" applyAlignment="1">
      <alignment horizontal="center" vertical="center"/>
    </xf>
    <xf numFmtId="0" fontId="4" fillId="0" borderId="10" xfId="0" applyFont="1" applyBorder="1" applyAlignment="1">
      <alignment horizontal="center" vertical="center"/>
    </xf>
    <xf numFmtId="0" fontId="0" fillId="11" borderId="4" xfId="0" applyFill="1" applyBorder="1" applyAlignment="1">
      <alignment horizontal="center" vertical="center"/>
    </xf>
    <xf numFmtId="0" fontId="5" fillId="7" borderId="3" xfId="0" applyFont="1" applyFill="1" applyBorder="1" applyAlignment="1">
      <alignment horizontal="center" vertical="center"/>
    </xf>
    <xf numFmtId="0" fontId="18" fillId="0" borderId="1" xfId="1" applyFont="1" applyBorder="1" applyAlignment="1">
      <alignment horizontal="center" vertical="center"/>
    </xf>
    <xf numFmtId="0" fontId="5" fillId="6" borderId="4" xfId="0" applyFont="1" applyFill="1" applyBorder="1" applyAlignment="1">
      <alignment horizontal="center" vertical="center"/>
    </xf>
    <xf numFmtId="0" fontId="5" fillId="0" borderId="18" xfId="0" applyFont="1" applyBorder="1" applyAlignment="1">
      <alignment horizontal="center" vertical="center"/>
    </xf>
    <xf numFmtId="0" fontId="5" fillId="11" borderId="4"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10" xfId="0" applyFont="1" applyFill="1" applyBorder="1" applyAlignment="1">
      <alignment horizontal="center" vertical="center"/>
    </xf>
    <xf numFmtId="0" fontId="5" fillId="11" borderId="4" xfId="1" applyFont="1" applyFill="1" applyBorder="1" applyAlignment="1">
      <alignment horizontal="center" vertical="center"/>
    </xf>
    <xf numFmtId="0" fontId="4" fillId="11" borderId="2" xfId="0" applyFont="1" applyFill="1" applyBorder="1" applyAlignment="1">
      <alignment horizontal="center" vertical="center"/>
    </xf>
    <xf numFmtId="0" fontId="4" fillId="11" borderId="4" xfId="0" applyFont="1" applyFill="1" applyBorder="1" applyAlignment="1">
      <alignment horizontal="center" vertical="center"/>
    </xf>
    <xf numFmtId="0" fontId="5" fillId="6" borderId="2" xfId="0" applyFont="1" applyFill="1" applyBorder="1" applyAlignment="1">
      <alignment vertical="center" wrapText="1"/>
    </xf>
    <xf numFmtId="0" fontId="5" fillId="7" borderId="7" xfId="0" applyFont="1" applyFill="1" applyBorder="1" applyAlignment="1">
      <alignment vertical="center" wrapText="1"/>
    </xf>
    <xf numFmtId="0" fontId="5" fillId="0" borderId="18" xfId="0" applyFont="1" applyBorder="1" applyAlignment="1">
      <alignment horizontal="center" vertical="center" wrapText="1"/>
    </xf>
    <xf numFmtId="0" fontId="5" fillId="0" borderId="15" xfId="0" applyFont="1" applyBorder="1" applyAlignment="1">
      <alignment horizontal="left" vertical="center" wrapText="1"/>
    </xf>
    <xf numFmtId="0" fontId="5" fillId="6" borderId="4" xfId="0" applyFont="1" applyFill="1" applyBorder="1" applyAlignment="1">
      <alignment horizontal="left" vertical="center" wrapText="1"/>
    </xf>
    <xf numFmtId="0" fontId="0" fillId="0" borderId="1" xfId="0" applyFill="1" applyBorder="1" applyAlignment="1">
      <alignment vertical="center" wrapText="1"/>
    </xf>
    <xf numFmtId="0" fontId="0" fillId="0" borderId="2" xfId="0" applyBorder="1" applyAlignment="1">
      <alignment vertical="center" wrapText="1"/>
    </xf>
    <xf numFmtId="0" fontId="5" fillId="0" borderId="4" xfId="0" applyFont="1" applyFill="1" applyBorder="1" applyAlignment="1">
      <alignment vertical="center" wrapText="1"/>
    </xf>
    <xf numFmtId="0" fontId="33" fillId="11" borderId="3" xfId="0" applyFont="1" applyFill="1" applyBorder="1" applyAlignment="1">
      <alignment horizontal="left" vertical="center" wrapText="1"/>
    </xf>
    <xf numFmtId="0" fontId="4" fillId="11" borderId="3"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8" xfId="0" applyFont="1" applyBorder="1" applyAlignment="1">
      <alignment horizontal="center" vertical="center"/>
    </xf>
    <xf numFmtId="0" fontId="4" fillId="0" borderId="10" xfId="0" applyFont="1" applyBorder="1" applyAlignment="1">
      <alignment horizontal="center" vertical="center" wrapText="1"/>
    </xf>
    <xf numFmtId="0" fontId="4" fillId="11" borderId="3" xfId="0" applyFont="1" applyFill="1" applyBorder="1" applyAlignment="1">
      <alignment horizontal="center" vertical="center"/>
    </xf>
    <xf numFmtId="0" fontId="5" fillId="11" borderId="3" xfId="1" applyFont="1" applyFill="1" applyBorder="1" applyAlignment="1">
      <alignment horizontal="center" vertical="center" wrapText="1"/>
    </xf>
    <xf numFmtId="0" fontId="37" fillId="0" borderId="1" xfId="0" applyFont="1" applyBorder="1" applyAlignment="1">
      <alignment horizontal="center" vertical="center"/>
    </xf>
    <xf numFmtId="0" fontId="37" fillId="0" borderId="1" xfId="0" applyFont="1" applyFill="1" applyBorder="1" applyAlignment="1">
      <alignment horizontal="center" vertical="center" wrapText="1"/>
    </xf>
    <xf numFmtId="0" fontId="37" fillId="0" borderId="1" xfId="0" applyFont="1" applyFill="1" applyBorder="1" applyAlignment="1">
      <alignment horizontal="center" vertical="center"/>
    </xf>
    <xf numFmtId="0" fontId="27" fillId="0" borderId="1" xfId="0" applyFont="1" applyFill="1" applyBorder="1" applyAlignment="1">
      <alignment horizontal="center" vertical="center"/>
    </xf>
    <xf numFmtId="0" fontId="27" fillId="0"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27" fillId="0" borderId="1" xfId="0" applyFont="1" applyBorder="1" applyAlignment="1">
      <alignment horizontal="center" vertical="center"/>
    </xf>
    <xf numFmtId="0" fontId="37" fillId="11" borderId="1" xfId="0" applyFont="1" applyFill="1" applyBorder="1" applyAlignment="1">
      <alignment horizontal="center" vertical="center" wrapText="1"/>
    </xf>
    <xf numFmtId="0" fontId="37" fillId="11" borderId="1" xfId="0" applyFont="1" applyFill="1" applyBorder="1" applyAlignment="1">
      <alignment horizontal="center" vertical="center"/>
    </xf>
    <xf numFmtId="0" fontId="27" fillId="0" borderId="1" xfId="0" applyFont="1" applyBorder="1" applyAlignment="1">
      <alignment horizontal="center" vertical="center" wrapText="1"/>
    </xf>
    <xf numFmtId="0" fontId="0" fillId="16" borderId="22" xfId="0" applyFill="1" applyBorder="1" applyAlignment="1">
      <alignment horizontal="center" vertical="center"/>
    </xf>
    <xf numFmtId="0" fontId="0" fillId="14" borderId="5" xfId="0" applyFill="1" applyBorder="1" applyAlignment="1">
      <alignment horizontal="center" vertical="center"/>
    </xf>
    <xf numFmtId="0" fontId="0" fillId="14" borderId="7" xfId="0" applyFill="1" applyBorder="1" applyAlignment="1">
      <alignment horizontal="center" vertical="center"/>
    </xf>
    <xf numFmtId="0" fontId="3" fillId="13" borderId="5" xfId="0" applyFont="1" applyFill="1" applyBorder="1" applyAlignment="1">
      <alignment horizontal="center" vertical="center"/>
    </xf>
    <xf numFmtId="0" fontId="3" fillId="13" borderId="7" xfId="0" applyFont="1" applyFill="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1" borderId="10" xfId="0" applyFont="1" applyFill="1" applyBorder="1" applyAlignment="1">
      <alignment horizontal="center" vertical="center"/>
    </xf>
  </cellXfs>
  <cellStyles count="5">
    <cellStyle name="나쁨" xfId="2" builtinId="27"/>
    <cellStyle name="메모" xfId="3" builtinId="10"/>
    <cellStyle name="표준" xfId="0" builtinId="0"/>
    <cellStyle name="표준 2" xfId="1" xr:uid="{00000000-0005-0000-0000-00002F000000}"/>
    <cellStyle name="하이퍼링크" xfId="4" builtinId="8"/>
  </cellStyles>
  <dxfs count="20">
    <dxf>
      <font>
        <color theme="1" tint="0.34998626667073579"/>
      </font>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
      <font>
        <color theme="1" tint="0.34998626667073579"/>
      </font>
      <fill>
        <patternFill>
          <bgColor theme="0" tint="-0.34998626667073579"/>
        </patternFill>
      </fill>
    </dxf>
  </dxfs>
  <tableStyles count="0" defaultTableStyle="TableStyleMedium2" defaultPivotStyle="PivotStyleLight16"/>
  <colors>
    <mruColors>
      <color rgb="FF0000FF"/>
      <color rgb="FFFF8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139765</xdr:colOff>
      <xdr:row>2</xdr:row>
      <xdr:rowOff>12344</xdr:rowOff>
    </xdr:from>
    <xdr:to>
      <xdr:col>17</xdr:col>
      <xdr:colOff>376764</xdr:colOff>
      <xdr:row>8</xdr:row>
      <xdr:rowOff>176688</xdr:rowOff>
    </xdr:to>
    <xdr:pic>
      <xdr:nvPicPr>
        <xdr:cNvPr id="2" name="그림 1">
          <a:extLst>
            <a:ext uri="{FF2B5EF4-FFF2-40B4-BE49-F238E27FC236}">
              <a16:creationId xmlns:a16="http://schemas.microsoft.com/office/drawing/2014/main" id="{4820F5E7-EF2D-4FE6-8951-14A59F183589}"/>
            </a:ext>
          </a:extLst>
        </xdr:cNvPr>
        <xdr:cNvPicPr>
          <a:picLocks noChangeAspect="1"/>
        </xdr:cNvPicPr>
      </xdr:nvPicPr>
      <xdr:blipFill>
        <a:blip xmlns:r="http://schemas.openxmlformats.org/officeDocument/2006/relationships" r:embed="rId1"/>
        <a:stretch>
          <a:fillRect/>
        </a:stretch>
      </xdr:blipFill>
      <xdr:spPr>
        <a:xfrm>
          <a:off x="139765" y="604015"/>
          <a:ext cx="8950693" cy="429707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awcdn.githack.com/COVESA/vehicle-information-service-specification/cd130fddc04ab7806c779201cf5ba33a5299a3f0/spec/VISSv3.0_Transport.html" TargetMode="External"/><Relationship Id="rId2" Type="http://schemas.openxmlformats.org/officeDocument/2006/relationships/hyperlink" Target="https://raw.githack.com/COVESA/vehicle-information-service-specification/main/spec/VISSv3.0_PayloadEncoding.html" TargetMode="External"/><Relationship Id="rId1" Type="http://schemas.openxmlformats.org/officeDocument/2006/relationships/hyperlink" Target="https://raw.githack.com/COVESA/vehicle-information-service-specification/main/spec/VISSv3.0_Core.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615AB-EE0A-440F-8B6B-448C0CC33EB2}">
  <dimension ref="A1:AA1967"/>
  <sheetViews>
    <sheetView tabSelected="1" zoomScale="70" zoomScaleNormal="70" workbookViewId="0">
      <selection activeCell="A2" sqref="A1:XFD2"/>
    </sheetView>
  </sheetViews>
  <sheetFormatPr defaultColWidth="8.69140625" defaultRowHeight="17.5"/>
  <cols>
    <col min="1" max="1" width="17" style="11" customWidth="1"/>
    <col min="2" max="2" width="21.07421875" style="11" bestFit="1" customWidth="1"/>
    <col min="3" max="3" width="6.53515625" style="23" customWidth="1"/>
    <col min="4" max="4" width="28" style="25" customWidth="1"/>
    <col min="5" max="5" width="19.23046875" style="24" customWidth="1"/>
    <col min="6" max="6" width="12.765625" style="23" customWidth="1"/>
    <col min="7" max="7" width="18.69140625" style="23" customWidth="1"/>
    <col min="8" max="8" width="38" style="23" customWidth="1"/>
    <col min="9" max="9" width="31.4609375" style="26" customWidth="1"/>
    <col min="10" max="11" width="12.4609375" style="23" customWidth="1"/>
    <col min="12" max="12" width="25.23046875" style="24" customWidth="1"/>
    <col min="13" max="13" width="16.69140625" style="24" customWidth="1"/>
    <col min="14" max="14" width="30.07421875" style="23" bestFit="1" customWidth="1"/>
    <col min="15" max="15" width="23.23046875" style="24" customWidth="1"/>
    <col min="16" max="16" width="23" style="23" customWidth="1"/>
    <col min="17" max="17" width="18.07421875" style="24" customWidth="1"/>
    <col min="18" max="18" width="31.765625" style="24" customWidth="1"/>
    <col min="19" max="19" width="14.07421875" style="24" customWidth="1"/>
    <col min="20" max="20" width="12" style="23" customWidth="1"/>
    <col min="21" max="21" width="30.07421875" style="23" customWidth="1"/>
    <col min="22" max="22" width="21.4609375" style="23" customWidth="1"/>
    <col min="23" max="23" width="35.3046875" style="25" customWidth="1"/>
    <col min="24" max="24" width="21.69140625" style="23" customWidth="1"/>
    <col min="25" max="25" width="23.23046875" style="23" customWidth="1"/>
    <col min="26" max="26" width="2.53515625" style="22" customWidth="1"/>
    <col min="27" max="27" width="4.3046875" style="165" customWidth="1"/>
    <col min="28" max="16384" width="8.69140625" style="22"/>
  </cols>
  <sheetData>
    <row r="1" spans="1:27" ht="35">
      <c r="A1" s="19" t="s">
        <v>0</v>
      </c>
      <c r="B1" s="19" t="s">
        <v>1</v>
      </c>
      <c r="C1" s="19" t="s">
        <v>3</v>
      </c>
      <c r="D1" s="20" t="s">
        <v>833</v>
      </c>
      <c r="E1" s="21" t="s">
        <v>832</v>
      </c>
      <c r="F1" s="21" t="s">
        <v>2560</v>
      </c>
      <c r="G1" s="19" t="s">
        <v>13</v>
      </c>
      <c r="H1" s="21" t="s">
        <v>834</v>
      </c>
      <c r="I1" s="21" t="s">
        <v>831</v>
      </c>
      <c r="J1" s="21" t="s">
        <v>835</v>
      </c>
      <c r="K1" s="21" t="s">
        <v>836</v>
      </c>
      <c r="L1" s="21" t="s">
        <v>812</v>
      </c>
      <c r="M1" s="21" t="s">
        <v>2561</v>
      </c>
      <c r="N1" s="21" t="s">
        <v>7</v>
      </c>
      <c r="O1" s="21" t="s">
        <v>8</v>
      </c>
      <c r="P1" s="19" t="s">
        <v>9</v>
      </c>
      <c r="Q1" s="21" t="s">
        <v>2562</v>
      </c>
      <c r="R1" s="21" t="s">
        <v>52</v>
      </c>
      <c r="S1" s="137" t="s">
        <v>2633</v>
      </c>
      <c r="T1" s="19" t="s">
        <v>2563</v>
      </c>
      <c r="U1" s="19" t="s">
        <v>2635</v>
      </c>
      <c r="V1" s="19" t="s">
        <v>60</v>
      </c>
      <c r="W1" s="20" t="s">
        <v>5</v>
      </c>
      <c r="X1" s="19" t="s">
        <v>6</v>
      </c>
      <c r="Y1" s="19" t="s">
        <v>4</v>
      </c>
      <c r="AA1" s="165" t="s">
        <v>2643</v>
      </c>
    </row>
    <row r="2" spans="1:27" s="136" customFormat="1" ht="52.5">
      <c r="A2" s="13" t="s">
        <v>2559</v>
      </c>
      <c r="B2" s="13" t="s">
        <v>56</v>
      </c>
      <c r="C2" s="12">
        <v>1</v>
      </c>
      <c r="D2" s="33" t="s">
        <v>1508</v>
      </c>
      <c r="E2" s="15" t="s">
        <v>1682</v>
      </c>
      <c r="F2" s="12" t="s">
        <v>58</v>
      </c>
      <c r="G2" s="13" t="s">
        <v>3167</v>
      </c>
      <c r="H2" s="12" t="s">
        <v>1132</v>
      </c>
      <c r="I2" s="33" t="s">
        <v>287</v>
      </c>
      <c r="J2" s="28">
        <v>2008</v>
      </c>
      <c r="K2" s="28">
        <v>2011</v>
      </c>
      <c r="L2" s="13" t="s">
        <v>288</v>
      </c>
      <c r="M2" s="15"/>
      <c r="N2" s="12"/>
      <c r="O2" s="16" t="s">
        <v>59</v>
      </c>
      <c r="P2" s="16" t="s">
        <v>57</v>
      </c>
      <c r="Q2" s="16" t="s">
        <v>891</v>
      </c>
      <c r="R2" s="15" t="s">
        <v>93</v>
      </c>
      <c r="S2" s="28" t="s">
        <v>2631</v>
      </c>
      <c r="T2" s="12">
        <v>0</v>
      </c>
      <c r="U2" s="12"/>
      <c r="V2" s="17"/>
      <c r="W2" s="38"/>
      <c r="X2" s="12"/>
      <c r="Y2" s="17"/>
      <c r="Z2" s="67"/>
      <c r="AA2" s="66"/>
    </row>
    <row r="3" spans="1:27" ht="52.5">
      <c r="A3" s="13" t="s">
        <v>2559</v>
      </c>
      <c r="B3" s="13" t="s">
        <v>56</v>
      </c>
      <c r="C3" s="12">
        <v>2</v>
      </c>
      <c r="D3" s="33" t="s">
        <v>1511</v>
      </c>
      <c r="E3" s="15" t="s">
        <v>1685</v>
      </c>
      <c r="F3" s="12" t="s">
        <v>58</v>
      </c>
      <c r="G3" s="13" t="s">
        <v>3167</v>
      </c>
      <c r="H3" s="12" t="s">
        <v>1132</v>
      </c>
      <c r="I3" s="33" t="s">
        <v>292</v>
      </c>
      <c r="J3" s="28">
        <v>2009</v>
      </c>
      <c r="K3" s="28">
        <v>2012</v>
      </c>
      <c r="L3" s="13" t="s">
        <v>288</v>
      </c>
      <c r="M3" s="15"/>
      <c r="N3" s="12"/>
      <c r="O3" s="16" t="s">
        <v>59</v>
      </c>
      <c r="P3" s="16" t="s">
        <v>57</v>
      </c>
      <c r="Q3" s="16" t="s">
        <v>864</v>
      </c>
      <c r="R3" s="15" t="s">
        <v>93</v>
      </c>
      <c r="S3" s="28" t="s">
        <v>2631</v>
      </c>
      <c r="T3" s="12">
        <v>0</v>
      </c>
      <c r="U3" s="12"/>
      <c r="V3" s="17"/>
      <c r="W3" s="38"/>
      <c r="X3" s="12"/>
      <c r="Y3" s="17"/>
      <c r="Z3" s="67"/>
      <c r="AA3" s="66"/>
    </row>
    <row r="4" spans="1:27" s="78" customFormat="1" ht="52.5">
      <c r="A4" s="13" t="s">
        <v>2559</v>
      </c>
      <c r="B4" s="13" t="s">
        <v>56</v>
      </c>
      <c r="C4" s="12">
        <v>3</v>
      </c>
      <c r="D4" s="33" t="s">
        <v>1509</v>
      </c>
      <c r="E4" s="15" t="s">
        <v>1683</v>
      </c>
      <c r="F4" s="12" t="s">
        <v>58</v>
      </c>
      <c r="G4" s="13" t="s">
        <v>3167</v>
      </c>
      <c r="H4" s="12" t="s">
        <v>1132</v>
      </c>
      <c r="I4" s="33" t="s">
        <v>289</v>
      </c>
      <c r="J4" s="28">
        <v>2010</v>
      </c>
      <c r="K4" s="28">
        <v>2014</v>
      </c>
      <c r="L4" s="13" t="s">
        <v>288</v>
      </c>
      <c r="M4" s="15"/>
      <c r="N4" s="12"/>
      <c r="O4" s="16" t="s">
        <v>59</v>
      </c>
      <c r="P4" s="16" t="s">
        <v>57</v>
      </c>
      <c r="Q4" s="16" t="s">
        <v>864</v>
      </c>
      <c r="R4" s="15" t="s">
        <v>93</v>
      </c>
      <c r="S4" s="28" t="s">
        <v>2631</v>
      </c>
      <c r="T4" s="12">
        <v>0</v>
      </c>
      <c r="U4" s="12"/>
      <c r="V4" s="17"/>
      <c r="W4" s="38"/>
      <c r="X4" s="12"/>
      <c r="Y4" s="17"/>
      <c r="Z4" s="67"/>
      <c r="AA4" s="66"/>
    </row>
    <row r="5" spans="1:27" s="78" customFormat="1" ht="52.5">
      <c r="A5" s="13" t="s">
        <v>2559</v>
      </c>
      <c r="B5" s="13" t="s">
        <v>56</v>
      </c>
      <c r="C5" s="12">
        <v>4</v>
      </c>
      <c r="D5" s="33" t="s">
        <v>1512</v>
      </c>
      <c r="E5" s="15" t="s">
        <v>1686</v>
      </c>
      <c r="F5" s="12" t="s">
        <v>58</v>
      </c>
      <c r="G5" s="13" t="s">
        <v>3167</v>
      </c>
      <c r="H5" s="12" t="s">
        <v>1132</v>
      </c>
      <c r="I5" s="33" t="s">
        <v>293</v>
      </c>
      <c r="J5" s="28">
        <v>2012</v>
      </c>
      <c r="K5" s="28">
        <v>2014</v>
      </c>
      <c r="L5" s="13" t="s">
        <v>288</v>
      </c>
      <c r="M5" s="15"/>
      <c r="N5" s="12"/>
      <c r="O5" s="16" t="s">
        <v>59</v>
      </c>
      <c r="P5" s="16" t="s">
        <v>57</v>
      </c>
      <c r="Q5" s="16" t="s">
        <v>859</v>
      </c>
      <c r="R5" s="15" t="s">
        <v>93</v>
      </c>
      <c r="S5" s="28" t="s">
        <v>2631</v>
      </c>
      <c r="T5" s="12">
        <v>0</v>
      </c>
      <c r="U5" s="12"/>
      <c r="V5" s="17"/>
      <c r="W5" s="38"/>
      <c r="X5" s="12"/>
      <c r="Y5" s="17"/>
      <c r="Z5" s="67"/>
      <c r="AA5" s="66"/>
    </row>
    <row r="6" spans="1:27" s="78" customFormat="1" ht="70">
      <c r="A6" s="13" t="s">
        <v>2559</v>
      </c>
      <c r="B6" s="13" t="s">
        <v>56</v>
      </c>
      <c r="C6" s="12">
        <v>5</v>
      </c>
      <c r="D6" s="33" t="s">
        <v>1467</v>
      </c>
      <c r="E6" s="15" t="s">
        <v>1468</v>
      </c>
      <c r="F6" s="12" t="s">
        <v>58</v>
      </c>
      <c r="G6" s="13" t="s">
        <v>3168</v>
      </c>
      <c r="H6" s="12" t="s">
        <v>1132</v>
      </c>
      <c r="I6" s="33" t="s">
        <v>240</v>
      </c>
      <c r="J6" s="28">
        <v>2009</v>
      </c>
      <c r="K6" s="13">
        <v>2012</v>
      </c>
      <c r="L6" s="13" t="s">
        <v>241</v>
      </c>
      <c r="M6" s="15"/>
      <c r="N6" s="12"/>
      <c r="O6" s="16" t="s">
        <v>59</v>
      </c>
      <c r="P6" s="16" t="s">
        <v>57</v>
      </c>
      <c r="Q6" s="16" t="s">
        <v>864</v>
      </c>
      <c r="R6" s="15" t="s">
        <v>43</v>
      </c>
      <c r="S6" s="28" t="s">
        <v>2631</v>
      </c>
      <c r="T6" s="12">
        <v>0</v>
      </c>
      <c r="U6" s="12"/>
      <c r="V6" s="17"/>
      <c r="W6" s="38"/>
      <c r="X6" s="12"/>
      <c r="Y6" s="17"/>
      <c r="Z6" s="67"/>
      <c r="AA6" s="66"/>
    </row>
    <row r="7" spans="1:27" s="78" customFormat="1" ht="122.5">
      <c r="A7" s="13" t="s">
        <v>2559</v>
      </c>
      <c r="B7" s="13" t="s">
        <v>56</v>
      </c>
      <c r="C7" s="12">
        <v>6</v>
      </c>
      <c r="D7" s="33" t="s">
        <v>1469</v>
      </c>
      <c r="E7" s="15" t="s">
        <v>1470</v>
      </c>
      <c r="F7" s="12" t="s">
        <v>58</v>
      </c>
      <c r="G7" s="13" t="s">
        <v>3168</v>
      </c>
      <c r="H7" s="12" t="s">
        <v>1132</v>
      </c>
      <c r="I7" s="33" t="s">
        <v>242</v>
      </c>
      <c r="J7" s="28">
        <v>2013</v>
      </c>
      <c r="K7" s="13">
        <v>2016</v>
      </c>
      <c r="L7" s="13" t="s">
        <v>241</v>
      </c>
      <c r="M7" s="15"/>
      <c r="N7" s="12"/>
      <c r="O7" s="16" t="s">
        <v>59</v>
      </c>
      <c r="P7" s="16" t="s">
        <v>57</v>
      </c>
      <c r="Q7" s="16" t="s">
        <v>864</v>
      </c>
      <c r="R7" s="15" t="s">
        <v>43</v>
      </c>
      <c r="S7" s="28" t="s">
        <v>2631</v>
      </c>
      <c r="T7" s="12">
        <v>0</v>
      </c>
      <c r="U7" s="12"/>
      <c r="V7" s="17"/>
      <c r="W7" s="38"/>
      <c r="X7" s="12"/>
      <c r="Y7" s="17"/>
      <c r="Z7" s="67"/>
      <c r="AA7" s="66"/>
    </row>
    <row r="8" spans="1:27" s="67" customFormat="1" ht="140">
      <c r="A8" s="13" t="s">
        <v>2559</v>
      </c>
      <c r="B8" s="13" t="s">
        <v>56</v>
      </c>
      <c r="C8" s="12">
        <v>7</v>
      </c>
      <c r="D8" s="33" t="s">
        <v>1699</v>
      </c>
      <c r="E8" s="16" t="s">
        <v>243</v>
      </c>
      <c r="F8" s="12" t="s">
        <v>58</v>
      </c>
      <c r="G8" s="13" t="s">
        <v>3168</v>
      </c>
      <c r="H8" s="12" t="s">
        <v>1132</v>
      </c>
      <c r="I8" s="70" t="s">
        <v>244</v>
      </c>
      <c r="J8" s="28">
        <v>2016</v>
      </c>
      <c r="K8" s="13">
        <v>2019</v>
      </c>
      <c r="L8" s="13" t="s">
        <v>241</v>
      </c>
      <c r="M8" s="15"/>
      <c r="N8" s="12"/>
      <c r="O8" s="16" t="s">
        <v>59</v>
      </c>
      <c r="P8" s="16" t="s">
        <v>57</v>
      </c>
      <c r="Q8" s="16" t="s">
        <v>864</v>
      </c>
      <c r="R8" s="15" t="s">
        <v>43</v>
      </c>
      <c r="S8" s="28" t="s">
        <v>2631</v>
      </c>
      <c r="T8" s="12">
        <v>0</v>
      </c>
      <c r="U8" s="12"/>
      <c r="V8" s="17"/>
      <c r="W8" s="38"/>
      <c r="X8" s="12"/>
      <c r="Y8" s="17"/>
      <c r="AA8" s="168"/>
    </row>
    <row r="9" spans="1:27" s="67" customFormat="1" ht="52.5">
      <c r="A9" s="13" t="s">
        <v>2559</v>
      </c>
      <c r="B9" s="13" t="s">
        <v>56</v>
      </c>
      <c r="C9" s="12">
        <v>8</v>
      </c>
      <c r="D9" s="33" t="s">
        <v>1471</v>
      </c>
      <c r="E9" s="15" t="s">
        <v>1472</v>
      </c>
      <c r="F9" s="12" t="s">
        <v>770</v>
      </c>
      <c r="G9" s="13" t="s">
        <v>508</v>
      </c>
      <c r="H9" s="12" t="s">
        <v>1132</v>
      </c>
      <c r="I9" s="42" t="s">
        <v>245</v>
      </c>
      <c r="J9" s="28">
        <v>2016</v>
      </c>
      <c r="K9" s="13">
        <v>2019</v>
      </c>
      <c r="L9" s="13" t="s">
        <v>241</v>
      </c>
      <c r="M9" s="15"/>
      <c r="N9" s="12"/>
      <c r="O9" s="16" t="s">
        <v>59</v>
      </c>
      <c r="P9" s="16" t="s">
        <v>57</v>
      </c>
      <c r="Q9" s="16" t="s">
        <v>864</v>
      </c>
      <c r="R9" s="15" t="s">
        <v>44</v>
      </c>
      <c r="S9" s="28" t="s">
        <v>2631</v>
      </c>
      <c r="T9" s="12">
        <v>0</v>
      </c>
      <c r="U9" s="12"/>
      <c r="V9" s="17"/>
      <c r="W9" s="38"/>
      <c r="X9" s="12"/>
      <c r="Y9" s="17"/>
      <c r="AA9" s="168"/>
    </row>
    <row r="10" spans="1:27" s="78" customFormat="1" ht="192.5">
      <c r="A10" s="13" t="s">
        <v>2559</v>
      </c>
      <c r="B10" s="13" t="s">
        <v>11</v>
      </c>
      <c r="C10" s="12">
        <v>9</v>
      </c>
      <c r="D10" s="33" t="s">
        <v>1234</v>
      </c>
      <c r="E10" s="16" t="s">
        <v>1229</v>
      </c>
      <c r="F10" s="12" t="s">
        <v>58</v>
      </c>
      <c r="G10" s="13" t="s">
        <v>3168</v>
      </c>
      <c r="H10" s="12" t="s">
        <v>1132</v>
      </c>
      <c r="I10" s="33" t="s">
        <v>310</v>
      </c>
      <c r="J10" s="12">
        <v>2017</v>
      </c>
      <c r="K10" s="12">
        <v>2020</v>
      </c>
      <c r="L10" s="16" t="s">
        <v>241</v>
      </c>
      <c r="M10" s="16" t="s">
        <v>893</v>
      </c>
      <c r="N10" s="12"/>
      <c r="O10" s="16" t="s">
        <v>59</v>
      </c>
      <c r="P10" s="12" t="s">
        <v>57</v>
      </c>
      <c r="Q10" s="16" t="s">
        <v>864</v>
      </c>
      <c r="R10" s="15" t="s">
        <v>43</v>
      </c>
      <c r="S10" s="28" t="s">
        <v>2631</v>
      </c>
      <c r="T10" s="12">
        <v>0</v>
      </c>
      <c r="U10" s="12"/>
      <c r="V10" s="17"/>
      <c r="W10" s="38"/>
      <c r="X10" s="12"/>
      <c r="Y10" s="17"/>
      <c r="Z10" s="83"/>
      <c r="AA10" s="168" t="s">
        <v>2805</v>
      </c>
    </row>
    <row r="11" spans="1:27" s="78" customFormat="1" ht="70">
      <c r="A11" s="13" t="s">
        <v>2559</v>
      </c>
      <c r="B11" s="13" t="s">
        <v>11</v>
      </c>
      <c r="C11" s="12">
        <v>10</v>
      </c>
      <c r="D11" s="33" t="s">
        <v>1233</v>
      </c>
      <c r="E11" s="16" t="s">
        <v>1230</v>
      </c>
      <c r="F11" s="12" t="s">
        <v>58</v>
      </c>
      <c r="G11" s="12" t="s">
        <v>526</v>
      </c>
      <c r="H11" s="12" t="s">
        <v>1132</v>
      </c>
      <c r="I11" s="33" t="s">
        <v>311</v>
      </c>
      <c r="J11" s="12">
        <v>2019</v>
      </c>
      <c r="K11" s="12">
        <v>2021</v>
      </c>
      <c r="L11" s="16" t="s">
        <v>241</v>
      </c>
      <c r="M11" s="16" t="s">
        <v>893</v>
      </c>
      <c r="N11" s="12"/>
      <c r="O11" s="16" t="s">
        <v>59</v>
      </c>
      <c r="P11" s="12" t="s">
        <v>57</v>
      </c>
      <c r="Q11" s="16" t="s">
        <v>864</v>
      </c>
      <c r="R11" s="15" t="s">
        <v>43</v>
      </c>
      <c r="S11" s="28" t="s">
        <v>2631</v>
      </c>
      <c r="T11" s="12">
        <v>0</v>
      </c>
      <c r="U11" s="12"/>
      <c r="V11" s="17"/>
      <c r="W11" s="38"/>
      <c r="X11" s="12"/>
      <c r="Y11" s="17"/>
      <c r="Z11" s="83"/>
      <c r="AA11" s="168"/>
    </row>
    <row r="12" spans="1:27" s="78" customFormat="1" ht="105">
      <c r="A12" s="13" t="s">
        <v>2559</v>
      </c>
      <c r="B12" s="13" t="s">
        <v>11</v>
      </c>
      <c r="C12" s="12">
        <v>11</v>
      </c>
      <c r="D12" s="33" t="s">
        <v>1237</v>
      </c>
      <c r="E12" s="16" t="s">
        <v>1235</v>
      </c>
      <c r="F12" s="12" t="s">
        <v>58</v>
      </c>
      <c r="G12" s="12" t="s">
        <v>781</v>
      </c>
      <c r="H12" s="12" t="s">
        <v>1132</v>
      </c>
      <c r="I12" s="33" t="s">
        <v>312</v>
      </c>
      <c r="J12" s="12">
        <v>2019</v>
      </c>
      <c r="K12" s="12">
        <v>2021</v>
      </c>
      <c r="L12" s="16" t="s">
        <v>241</v>
      </c>
      <c r="M12" s="16" t="s">
        <v>893</v>
      </c>
      <c r="N12" s="346" t="s">
        <v>1183</v>
      </c>
      <c r="O12" s="16" t="s">
        <v>204</v>
      </c>
      <c r="P12" s="12" t="s">
        <v>57</v>
      </c>
      <c r="Q12" s="16" t="s">
        <v>891</v>
      </c>
      <c r="R12" s="15" t="s">
        <v>892</v>
      </c>
      <c r="S12" s="28" t="s">
        <v>2631</v>
      </c>
      <c r="T12" s="12">
        <v>0</v>
      </c>
      <c r="U12" s="12"/>
      <c r="V12" s="17"/>
      <c r="W12" s="38"/>
      <c r="X12" s="12"/>
      <c r="Y12" s="17"/>
      <c r="Z12" s="83"/>
      <c r="AA12" s="168" t="s">
        <v>2805</v>
      </c>
    </row>
    <row r="13" spans="1:27" s="78" customFormat="1" ht="105">
      <c r="A13" s="13" t="s">
        <v>2559</v>
      </c>
      <c r="B13" s="13" t="s">
        <v>11</v>
      </c>
      <c r="C13" s="12">
        <v>12</v>
      </c>
      <c r="D13" s="33" t="s">
        <v>1232</v>
      </c>
      <c r="E13" s="16" t="s">
        <v>1228</v>
      </c>
      <c r="F13" s="12" t="s">
        <v>58</v>
      </c>
      <c r="G13" s="12" t="s">
        <v>797</v>
      </c>
      <c r="H13" s="12" t="s">
        <v>1132</v>
      </c>
      <c r="I13" s="33" t="s">
        <v>308</v>
      </c>
      <c r="J13" s="12">
        <v>2021</v>
      </c>
      <c r="K13" s="12">
        <v>2023</v>
      </c>
      <c r="L13" s="16" t="s">
        <v>241</v>
      </c>
      <c r="M13" s="16" t="s">
        <v>893</v>
      </c>
      <c r="N13" s="346" t="s">
        <v>2044</v>
      </c>
      <c r="O13" s="16" t="s">
        <v>604</v>
      </c>
      <c r="P13" s="12" t="s">
        <v>309</v>
      </c>
      <c r="Q13" s="16" t="s">
        <v>891</v>
      </c>
      <c r="R13" s="15" t="s">
        <v>892</v>
      </c>
      <c r="S13" s="28" t="s">
        <v>2631</v>
      </c>
      <c r="T13" s="12">
        <v>0</v>
      </c>
      <c r="U13" s="12"/>
      <c r="V13" s="17"/>
      <c r="W13" s="38"/>
      <c r="X13" s="12"/>
      <c r="Y13" s="17"/>
      <c r="Z13" s="83"/>
      <c r="AA13" s="168" t="s">
        <v>2805</v>
      </c>
    </row>
    <row r="14" spans="1:27" s="78" customFormat="1" ht="122.5">
      <c r="A14" s="13" t="s">
        <v>2559</v>
      </c>
      <c r="B14" s="13" t="s">
        <v>11</v>
      </c>
      <c r="C14" s="12">
        <v>13</v>
      </c>
      <c r="D14" s="33" t="s">
        <v>1238</v>
      </c>
      <c r="E14" s="16" t="s">
        <v>1236</v>
      </c>
      <c r="F14" s="12" t="s">
        <v>58</v>
      </c>
      <c r="G14" s="12" t="s">
        <v>781</v>
      </c>
      <c r="H14" s="12" t="s">
        <v>1132</v>
      </c>
      <c r="I14" s="33" t="s">
        <v>313</v>
      </c>
      <c r="J14" s="12">
        <v>2021</v>
      </c>
      <c r="K14" s="12">
        <v>2023</v>
      </c>
      <c r="L14" s="16" t="s">
        <v>241</v>
      </c>
      <c r="M14" s="16" t="s">
        <v>893</v>
      </c>
      <c r="N14" s="352" t="s">
        <v>1183</v>
      </c>
      <c r="O14" s="16" t="s">
        <v>604</v>
      </c>
      <c r="P14" s="12" t="s">
        <v>57</v>
      </c>
      <c r="Q14" s="16" t="s">
        <v>910</v>
      </c>
      <c r="R14" s="15" t="s">
        <v>24</v>
      </c>
      <c r="S14" s="28" t="s">
        <v>2631</v>
      </c>
      <c r="T14" s="12">
        <v>0</v>
      </c>
      <c r="U14" s="12"/>
      <c r="V14" s="17"/>
      <c r="W14" s="38"/>
      <c r="X14" s="12"/>
      <c r="Y14" s="17"/>
      <c r="Z14" s="83"/>
      <c r="AA14" s="168"/>
    </row>
    <row r="15" spans="1:27" s="78" customFormat="1" ht="87.5">
      <c r="A15" s="13" t="s">
        <v>2559</v>
      </c>
      <c r="B15" s="17" t="s">
        <v>11</v>
      </c>
      <c r="C15" s="12">
        <v>14</v>
      </c>
      <c r="D15" s="49" t="s">
        <v>1379</v>
      </c>
      <c r="E15" s="15" t="s">
        <v>1380</v>
      </c>
      <c r="F15" s="12" t="s">
        <v>58</v>
      </c>
      <c r="G15" s="17" t="s">
        <v>3156</v>
      </c>
      <c r="H15" s="12" t="s">
        <v>1132</v>
      </c>
      <c r="I15" s="49" t="s">
        <v>117</v>
      </c>
      <c r="J15" s="12">
        <v>2009</v>
      </c>
      <c r="K15" s="17">
        <v>2010</v>
      </c>
      <c r="L15" s="17" t="s">
        <v>92</v>
      </c>
      <c r="M15" s="15" t="s">
        <v>179</v>
      </c>
      <c r="N15" s="15" t="s">
        <v>2162</v>
      </c>
      <c r="O15" s="16" t="s">
        <v>59</v>
      </c>
      <c r="P15" s="16" t="s">
        <v>10</v>
      </c>
      <c r="Q15" s="16" t="s">
        <v>891</v>
      </c>
      <c r="R15" s="15" t="s">
        <v>93</v>
      </c>
      <c r="S15" s="28" t="s">
        <v>2631</v>
      </c>
      <c r="T15" s="12">
        <v>0</v>
      </c>
      <c r="U15" s="12"/>
      <c r="V15" s="17"/>
      <c r="W15" s="38"/>
      <c r="X15" s="12"/>
      <c r="Y15" s="17"/>
      <c r="Z15" s="67"/>
      <c r="AA15" s="66"/>
    </row>
    <row r="16" spans="1:27" s="78" customFormat="1" ht="87.5">
      <c r="A16" s="13" t="s">
        <v>2559</v>
      </c>
      <c r="B16" s="17" t="s">
        <v>11</v>
      </c>
      <c r="C16" s="12">
        <v>15</v>
      </c>
      <c r="D16" s="49" t="s">
        <v>1381</v>
      </c>
      <c r="E16" s="15" t="s">
        <v>1382</v>
      </c>
      <c r="F16" s="12" t="s">
        <v>58</v>
      </c>
      <c r="G16" s="17" t="s">
        <v>3156</v>
      </c>
      <c r="H16" s="12" t="s">
        <v>1132</v>
      </c>
      <c r="I16" s="49" t="s">
        <v>118</v>
      </c>
      <c r="J16" s="12">
        <v>2009</v>
      </c>
      <c r="K16" s="17">
        <v>2010</v>
      </c>
      <c r="L16" s="17" t="s">
        <v>92</v>
      </c>
      <c r="M16" s="15" t="s">
        <v>179</v>
      </c>
      <c r="N16" s="15" t="s">
        <v>2162</v>
      </c>
      <c r="O16" s="16" t="s">
        <v>59</v>
      </c>
      <c r="P16" s="16" t="s">
        <v>10</v>
      </c>
      <c r="Q16" s="16" t="s">
        <v>891</v>
      </c>
      <c r="R16" s="15" t="s">
        <v>93</v>
      </c>
      <c r="S16" s="28" t="s">
        <v>2631</v>
      </c>
      <c r="T16" s="12">
        <v>0</v>
      </c>
      <c r="U16" s="12"/>
      <c r="V16" s="17"/>
      <c r="W16" s="38"/>
      <c r="X16" s="12"/>
      <c r="Y16" s="17"/>
      <c r="Z16" s="67"/>
      <c r="AA16" s="66"/>
    </row>
    <row r="17" spans="1:27" s="78" customFormat="1" ht="105">
      <c r="A17" s="13" t="s">
        <v>2559</v>
      </c>
      <c r="B17" s="17" t="s">
        <v>11</v>
      </c>
      <c r="C17" s="12">
        <v>16</v>
      </c>
      <c r="D17" s="84" t="s">
        <v>1385</v>
      </c>
      <c r="E17" s="85" t="s">
        <v>1386</v>
      </c>
      <c r="F17" s="12" t="s">
        <v>770</v>
      </c>
      <c r="G17" s="17" t="s">
        <v>120</v>
      </c>
      <c r="H17" s="12" t="s">
        <v>1132</v>
      </c>
      <c r="I17" s="49" t="s">
        <v>121</v>
      </c>
      <c r="J17" s="12">
        <v>2011</v>
      </c>
      <c r="K17" s="17">
        <v>2012</v>
      </c>
      <c r="L17" s="17" t="s">
        <v>92</v>
      </c>
      <c r="M17" s="15" t="s">
        <v>179</v>
      </c>
      <c r="N17" s="12"/>
      <c r="O17" s="16" t="s">
        <v>59</v>
      </c>
      <c r="P17" s="16" t="s">
        <v>10</v>
      </c>
      <c r="Q17" s="16" t="s">
        <v>891</v>
      </c>
      <c r="R17" s="15" t="s">
        <v>93</v>
      </c>
      <c r="S17" s="28" t="s">
        <v>2631</v>
      </c>
      <c r="T17" s="12">
        <v>0</v>
      </c>
      <c r="U17" s="12"/>
      <c r="V17" s="17"/>
      <c r="W17" s="38"/>
      <c r="X17" s="12"/>
      <c r="Y17" s="17"/>
      <c r="Z17" s="67"/>
      <c r="AA17" s="168"/>
    </row>
    <row r="18" spans="1:27" s="78" customFormat="1" ht="157.5">
      <c r="A18" s="13" t="s">
        <v>2559</v>
      </c>
      <c r="B18" s="17" t="s">
        <v>11</v>
      </c>
      <c r="C18" s="12">
        <v>17</v>
      </c>
      <c r="D18" s="49" t="s">
        <v>1383</v>
      </c>
      <c r="E18" s="15" t="s">
        <v>1384</v>
      </c>
      <c r="F18" s="12" t="s">
        <v>58</v>
      </c>
      <c r="G18" s="17" t="s">
        <v>3156</v>
      </c>
      <c r="H18" s="12" t="s">
        <v>2627</v>
      </c>
      <c r="I18" s="49" t="s">
        <v>119</v>
      </c>
      <c r="J18" s="12">
        <v>2011</v>
      </c>
      <c r="K18" s="17">
        <v>2012</v>
      </c>
      <c r="L18" s="17" t="s">
        <v>92</v>
      </c>
      <c r="M18" s="15" t="s">
        <v>179</v>
      </c>
      <c r="N18" s="16" t="s">
        <v>2162</v>
      </c>
      <c r="O18" s="16" t="s">
        <v>59</v>
      </c>
      <c r="P18" s="16" t="s">
        <v>10</v>
      </c>
      <c r="Q18" s="16" t="s">
        <v>891</v>
      </c>
      <c r="R18" s="15" t="s">
        <v>2630</v>
      </c>
      <c r="S18" s="28" t="s">
        <v>2629</v>
      </c>
      <c r="T18" s="12">
        <v>3</v>
      </c>
      <c r="U18" s="15" t="s">
        <v>2984</v>
      </c>
      <c r="V18" s="30" t="s">
        <v>2993</v>
      </c>
      <c r="W18" s="38" t="s">
        <v>1601</v>
      </c>
      <c r="X18" s="15" t="s">
        <v>1598</v>
      </c>
      <c r="Y18" s="30" t="s">
        <v>1600</v>
      </c>
      <c r="Z18" s="67"/>
      <c r="AA18" s="66"/>
    </row>
    <row r="19" spans="1:27" s="78" customFormat="1" ht="70">
      <c r="A19" s="13" t="s">
        <v>2559</v>
      </c>
      <c r="B19" s="17" t="s">
        <v>11</v>
      </c>
      <c r="C19" s="12">
        <v>18</v>
      </c>
      <c r="D19" s="84" t="s">
        <v>1387</v>
      </c>
      <c r="E19" s="85" t="s">
        <v>1388</v>
      </c>
      <c r="F19" s="12" t="s">
        <v>770</v>
      </c>
      <c r="G19" s="17" t="s">
        <v>120</v>
      </c>
      <c r="H19" s="12" t="s">
        <v>1132</v>
      </c>
      <c r="I19" s="49" t="s">
        <v>122</v>
      </c>
      <c r="J19" s="12">
        <v>2012</v>
      </c>
      <c r="K19" s="17">
        <v>2013</v>
      </c>
      <c r="L19" s="17" t="s">
        <v>92</v>
      </c>
      <c r="M19" s="15" t="s">
        <v>179</v>
      </c>
      <c r="N19" s="13" t="s">
        <v>3130</v>
      </c>
      <c r="O19" s="16" t="s">
        <v>59</v>
      </c>
      <c r="P19" s="16" t="s">
        <v>10</v>
      </c>
      <c r="Q19" s="16" t="s">
        <v>891</v>
      </c>
      <c r="R19" s="15" t="s">
        <v>93</v>
      </c>
      <c r="S19" s="28" t="s">
        <v>2631</v>
      </c>
      <c r="T19" s="12">
        <v>0</v>
      </c>
      <c r="U19" s="12"/>
      <c r="V19" s="17"/>
      <c r="W19" s="38"/>
      <c r="X19" s="12"/>
      <c r="Y19" s="17"/>
      <c r="Z19" s="67"/>
      <c r="AA19" s="66"/>
    </row>
    <row r="20" spans="1:27" s="78" customFormat="1" ht="87.5">
      <c r="A20" s="13" t="s">
        <v>2559</v>
      </c>
      <c r="B20" s="17" t="s">
        <v>11</v>
      </c>
      <c r="C20" s="12">
        <v>19</v>
      </c>
      <c r="D20" s="49" t="s">
        <v>126</v>
      </c>
      <c r="E20" s="15"/>
      <c r="F20" s="12" t="s">
        <v>125</v>
      </c>
      <c r="G20" s="17" t="s">
        <v>786</v>
      </c>
      <c r="H20" s="12" t="s">
        <v>1132</v>
      </c>
      <c r="I20" s="49" t="s">
        <v>127</v>
      </c>
      <c r="J20" s="12">
        <v>2014</v>
      </c>
      <c r="K20" s="17">
        <v>2016</v>
      </c>
      <c r="L20" s="17" t="s">
        <v>92</v>
      </c>
      <c r="M20" s="15" t="s">
        <v>179</v>
      </c>
      <c r="N20" s="12"/>
      <c r="O20" s="16" t="s">
        <v>59</v>
      </c>
      <c r="P20" s="16" t="s">
        <v>10</v>
      </c>
      <c r="Q20" s="16" t="s">
        <v>859</v>
      </c>
      <c r="R20" s="15" t="s">
        <v>93</v>
      </c>
      <c r="S20" s="28" t="s">
        <v>2631</v>
      </c>
      <c r="T20" s="12">
        <v>0</v>
      </c>
      <c r="U20" s="12"/>
      <c r="V20" s="17"/>
      <c r="W20" s="38"/>
      <c r="X20" s="12"/>
      <c r="Y20" s="17"/>
      <c r="Z20" s="67"/>
      <c r="AA20" s="168"/>
    </row>
    <row r="21" spans="1:27" s="78" customFormat="1" ht="70">
      <c r="A21" s="13" t="s">
        <v>2559</v>
      </c>
      <c r="B21" s="17" t="s">
        <v>11</v>
      </c>
      <c r="C21" s="12">
        <v>20</v>
      </c>
      <c r="D21" s="84" t="s">
        <v>1393</v>
      </c>
      <c r="E21" s="85" t="s">
        <v>1394</v>
      </c>
      <c r="F21" s="12" t="s">
        <v>130</v>
      </c>
      <c r="G21" s="17" t="s">
        <v>131</v>
      </c>
      <c r="H21" s="12" t="s">
        <v>1132</v>
      </c>
      <c r="I21" s="49" t="s">
        <v>132</v>
      </c>
      <c r="J21" s="12">
        <v>2016</v>
      </c>
      <c r="K21" s="17">
        <v>2017</v>
      </c>
      <c r="L21" s="17" t="s">
        <v>92</v>
      </c>
      <c r="M21" s="15" t="s">
        <v>179</v>
      </c>
      <c r="N21" s="12"/>
      <c r="O21" s="16" t="s">
        <v>59</v>
      </c>
      <c r="P21" s="16" t="s">
        <v>10</v>
      </c>
      <c r="Q21" s="16" t="s">
        <v>859</v>
      </c>
      <c r="R21" s="15" t="s">
        <v>93</v>
      </c>
      <c r="S21" s="28" t="s">
        <v>2631</v>
      </c>
      <c r="T21" s="12">
        <v>0</v>
      </c>
      <c r="U21" s="12"/>
      <c r="V21" s="17"/>
      <c r="W21" s="38"/>
      <c r="X21" s="12"/>
      <c r="Y21" s="17"/>
      <c r="Z21" s="67"/>
      <c r="AA21" s="168" t="s">
        <v>2794</v>
      </c>
    </row>
    <row r="22" spans="1:27" s="78" customFormat="1" ht="70">
      <c r="A22" s="13" t="s">
        <v>2559</v>
      </c>
      <c r="B22" s="17" t="s">
        <v>11</v>
      </c>
      <c r="C22" s="12">
        <v>21</v>
      </c>
      <c r="D22" s="33" t="s">
        <v>1395</v>
      </c>
      <c r="E22" s="15" t="s">
        <v>1396</v>
      </c>
      <c r="F22" s="12" t="s">
        <v>58</v>
      </c>
      <c r="G22" s="28" t="s">
        <v>781</v>
      </c>
      <c r="H22" s="12" t="s">
        <v>1132</v>
      </c>
      <c r="I22" s="49" t="s">
        <v>133</v>
      </c>
      <c r="J22" s="12">
        <v>2018</v>
      </c>
      <c r="K22" s="17">
        <v>2019</v>
      </c>
      <c r="L22" s="17" t="s">
        <v>134</v>
      </c>
      <c r="M22" s="15" t="s">
        <v>179</v>
      </c>
      <c r="N22" s="12" t="s">
        <v>2693</v>
      </c>
      <c r="O22" s="16" t="s">
        <v>59</v>
      </c>
      <c r="P22" s="16" t="s">
        <v>10</v>
      </c>
      <c r="Q22" s="16" t="s">
        <v>859</v>
      </c>
      <c r="R22" s="15" t="s">
        <v>93</v>
      </c>
      <c r="S22" s="28" t="s">
        <v>2629</v>
      </c>
      <c r="T22" s="12">
        <v>1</v>
      </c>
      <c r="U22" s="12" t="s">
        <v>1781</v>
      </c>
      <c r="V22" s="17" t="s">
        <v>2994</v>
      </c>
      <c r="W22" s="38" t="s">
        <v>1602</v>
      </c>
      <c r="X22" s="12" t="s">
        <v>1603</v>
      </c>
      <c r="Y22" s="17" t="s">
        <v>1604</v>
      </c>
      <c r="Z22" s="67"/>
      <c r="AA22" s="66" t="s">
        <v>2794</v>
      </c>
    </row>
    <row r="23" spans="1:27" s="78" customFormat="1" ht="175">
      <c r="A23" s="13" t="s">
        <v>2559</v>
      </c>
      <c r="B23" s="13" t="s">
        <v>11</v>
      </c>
      <c r="C23" s="12">
        <v>22</v>
      </c>
      <c r="D23" s="38" t="s">
        <v>872</v>
      </c>
      <c r="E23" s="15" t="s">
        <v>873</v>
      </c>
      <c r="F23" s="12" t="s">
        <v>58</v>
      </c>
      <c r="G23" s="164" t="s">
        <v>2690</v>
      </c>
      <c r="H23" s="12" t="s">
        <v>164</v>
      </c>
      <c r="I23" s="49" t="s">
        <v>178</v>
      </c>
      <c r="J23" s="12">
        <v>2023</v>
      </c>
      <c r="K23" s="12">
        <v>2025</v>
      </c>
      <c r="L23" s="15" t="s">
        <v>874</v>
      </c>
      <c r="M23" s="15" t="s">
        <v>179</v>
      </c>
      <c r="N23" s="163" t="s">
        <v>2658</v>
      </c>
      <c r="O23" s="16" t="s">
        <v>59</v>
      </c>
      <c r="P23" s="12" t="s">
        <v>57</v>
      </c>
      <c r="Q23" s="15" t="s">
        <v>863</v>
      </c>
      <c r="R23" s="15" t="s">
        <v>25</v>
      </c>
      <c r="S23" s="28" t="s">
        <v>2631</v>
      </c>
      <c r="T23" s="12">
        <v>0</v>
      </c>
      <c r="U23" s="12"/>
      <c r="V23" s="17"/>
      <c r="W23" s="38"/>
      <c r="X23" s="12"/>
      <c r="Y23" s="17"/>
      <c r="Z23" s="67"/>
      <c r="AA23" s="66"/>
    </row>
    <row r="24" spans="1:27" s="78" customFormat="1" ht="122.5">
      <c r="A24" s="13" t="s">
        <v>2559</v>
      </c>
      <c r="B24" s="13" t="s">
        <v>11</v>
      </c>
      <c r="C24" s="12">
        <v>23</v>
      </c>
      <c r="D24" s="38" t="s">
        <v>871</v>
      </c>
      <c r="E24" s="15" t="s">
        <v>2200</v>
      </c>
      <c r="F24" s="12" t="s">
        <v>162</v>
      </c>
      <c r="G24" s="12" t="s">
        <v>2621</v>
      </c>
      <c r="H24" s="12" t="s">
        <v>164</v>
      </c>
      <c r="I24" s="49" t="s">
        <v>176</v>
      </c>
      <c r="J24" s="12">
        <v>2023</v>
      </c>
      <c r="K24" s="164">
        <v>2026</v>
      </c>
      <c r="L24" s="15" t="s">
        <v>177</v>
      </c>
      <c r="M24" s="15" t="s">
        <v>155</v>
      </c>
      <c r="N24" s="12"/>
      <c r="O24" s="15" t="s">
        <v>604</v>
      </c>
      <c r="P24" s="12" t="s">
        <v>57</v>
      </c>
      <c r="Q24" s="15" t="s">
        <v>858</v>
      </c>
      <c r="R24" s="15" t="s">
        <v>39</v>
      </c>
      <c r="S24" s="28" t="s">
        <v>2631</v>
      </c>
      <c r="T24" s="12">
        <v>0</v>
      </c>
      <c r="U24" s="12"/>
      <c r="V24" s="17"/>
      <c r="W24" s="38"/>
      <c r="X24" s="12"/>
      <c r="Y24" s="17"/>
      <c r="Z24" s="67"/>
      <c r="AA24" s="168" t="s">
        <v>2794</v>
      </c>
    </row>
    <row r="25" spans="1:27" s="78" customFormat="1" ht="70">
      <c r="A25" s="13" t="s">
        <v>2559</v>
      </c>
      <c r="B25" s="13" t="s">
        <v>11</v>
      </c>
      <c r="C25" s="12">
        <v>24</v>
      </c>
      <c r="D25" s="86" t="s">
        <v>2165</v>
      </c>
      <c r="E25" s="314" t="s">
        <v>2692</v>
      </c>
      <c r="F25" s="12" t="s">
        <v>162</v>
      </c>
      <c r="G25" s="12" t="s">
        <v>2166</v>
      </c>
      <c r="H25" s="164" t="s">
        <v>811</v>
      </c>
      <c r="I25" s="81" t="s">
        <v>2167</v>
      </c>
      <c r="J25" s="12">
        <v>2025</v>
      </c>
      <c r="K25" s="164">
        <v>2025</v>
      </c>
      <c r="L25" s="15" t="s">
        <v>2168</v>
      </c>
      <c r="M25" s="15" t="s">
        <v>155</v>
      </c>
      <c r="N25" s="12"/>
      <c r="O25" s="15" t="s">
        <v>763</v>
      </c>
      <c r="P25" s="12" t="s">
        <v>538</v>
      </c>
      <c r="Q25" s="15" t="s">
        <v>859</v>
      </c>
      <c r="R25" s="15" t="s">
        <v>93</v>
      </c>
      <c r="S25" s="28" t="s">
        <v>2631</v>
      </c>
      <c r="T25" s="12">
        <v>0</v>
      </c>
      <c r="U25" s="12"/>
      <c r="V25" s="17"/>
      <c r="W25" s="38"/>
      <c r="X25" s="12"/>
      <c r="Y25" s="17"/>
      <c r="Z25" s="67"/>
      <c r="AA25" s="168" t="s">
        <v>2805</v>
      </c>
    </row>
    <row r="26" spans="1:27" s="78" customFormat="1" ht="70">
      <c r="A26" s="13" t="s">
        <v>2559</v>
      </c>
      <c r="B26" s="13" t="s">
        <v>11</v>
      </c>
      <c r="C26" s="12">
        <v>25</v>
      </c>
      <c r="D26" s="34" t="s">
        <v>1196</v>
      </c>
      <c r="E26" s="85" t="s">
        <v>1195</v>
      </c>
      <c r="F26" s="12" t="s">
        <v>162</v>
      </c>
      <c r="G26" s="15" t="s">
        <v>2621</v>
      </c>
      <c r="H26" s="12" t="s">
        <v>1132</v>
      </c>
      <c r="I26" s="307" t="s">
        <v>1197</v>
      </c>
      <c r="J26" s="12">
        <v>2018</v>
      </c>
      <c r="K26" s="12">
        <v>2021</v>
      </c>
      <c r="L26" s="16" t="s">
        <v>1208</v>
      </c>
      <c r="M26" s="16" t="s">
        <v>155</v>
      </c>
      <c r="N26" s="12"/>
      <c r="O26" s="15" t="s">
        <v>763</v>
      </c>
      <c r="P26" s="12" t="s">
        <v>538</v>
      </c>
      <c r="Q26" s="16" t="s">
        <v>858</v>
      </c>
      <c r="R26" s="15" t="s">
        <v>39</v>
      </c>
      <c r="S26" s="28" t="s">
        <v>2631</v>
      </c>
      <c r="T26" s="12">
        <v>0</v>
      </c>
      <c r="U26" s="12"/>
      <c r="V26" s="17"/>
      <c r="W26" s="38"/>
      <c r="X26" s="12"/>
      <c r="Y26" s="17"/>
      <c r="Z26" s="83"/>
      <c r="AA26" s="66"/>
    </row>
    <row r="27" spans="1:27" s="78" customFormat="1" ht="52.5">
      <c r="A27" s="13" t="s">
        <v>2559</v>
      </c>
      <c r="B27" s="17" t="s">
        <v>11</v>
      </c>
      <c r="C27" s="12">
        <v>26</v>
      </c>
      <c r="D27" s="49" t="s">
        <v>1391</v>
      </c>
      <c r="E27" s="15" t="s">
        <v>1392</v>
      </c>
      <c r="F27" s="12" t="s">
        <v>58</v>
      </c>
      <c r="G27" s="17" t="s">
        <v>3160</v>
      </c>
      <c r="H27" s="12" t="s">
        <v>1132</v>
      </c>
      <c r="I27" s="49" t="s">
        <v>128</v>
      </c>
      <c r="J27" s="12">
        <v>2016</v>
      </c>
      <c r="K27" s="17">
        <v>2017</v>
      </c>
      <c r="L27" s="17" t="s">
        <v>129</v>
      </c>
      <c r="M27" s="15" t="s">
        <v>179</v>
      </c>
      <c r="N27" s="15"/>
      <c r="O27" s="16" t="s">
        <v>59</v>
      </c>
      <c r="P27" s="16" t="s">
        <v>10</v>
      </c>
      <c r="Q27" s="16" t="s">
        <v>859</v>
      </c>
      <c r="R27" s="15" t="s">
        <v>93</v>
      </c>
      <c r="S27" s="28" t="s">
        <v>2631</v>
      </c>
      <c r="T27" s="12">
        <v>0</v>
      </c>
      <c r="U27" s="12"/>
      <c r="V27" s="17"/>
      <c r="W27" s="38"/>
      <c r="X27" s="12"/>
      <c r="Y27" s="17"/>
      <c r="Z27" s="67"/>
      <c r="AA27" s="56"/>
    </row>
    <row r="28" spans="1:27" s="78" customFormat="1" ht="122.5">
      <c r="A28" s="13" t="s">
        <v>2559</v>
      </c>
      <c r="B28" s="17" t="s">
        <v>11</v>
      </c>
      <c r="C28" s="12">
        <v>27</v>
      </c>
      <c r="D28" s="84" t="s">
        <v>1389</v>
      </c>
      <c r="E28" s="85" t="s">
        <v>1390</v>
      </c>
      <c r="F28" s="12" t="s">
        <v>58</v>
      </c>
      <c r="G28" s="17" t="s">
        <v>3169</v>
      </c>
      <c r="H28" s="12" t="s">
        <v>1132</v>
      </c>
      <c r="I28" s="81" t="s">
        <v>123</v>
      </c>
      <c r="J28" s="12">
        <v>2015</v>
      </c>
      <c r="K28" s="17">
        <v>2016</v>
      </c>
      <c r="L28" s="17" t="s">
        <v>124</v>
      </c>
      <c r="M28" s="15" t="s">
        <v>179</v>
      </c>
      <c r="N28" s="13"/>
      <c r="O28" s="16" t="s">
        <v>59</v>
      </c>
      <c r="P28" s="16" t="s">
        <v>10</v>
      </c>
      <c r="Q28" s="16" t="s">
        <v>891</v>
      </c>
      <c r="R28" s="15" t="s">
        <v>93</v>
      </c>
      <c r="S28" s="28" t="s">
        <v>2629</v>
      </c>
      <c r="T28" s="12">
        <v>3</v>
      </c>
      <c r="U28" s="15" t="s">
        <v>2978</v>
      </c>
      <c r="V28" s="30" t="s">
        <v>2995</v>
      </c>
      <c r="W28" s="38" t="s">
        <v>1599</v>
      </c>
      <c r="X28" s="15" t="s">
        <v>1598</v>
      </c>
      <c r="Y28" s="30" t="s">
        <v>1600</v>
      </c>
      <c r="Z28" s="67"/>
      <c r="AA28" s="66"/>
    </row>
    <row r="29" spans="1:27" s="78" customFormat="1" ht="52.5">
      <c r="A29" s="13" t="s">
        <v>2559</v>
      </c>
      <c r="B29" s="28" t="s">
        <v>56</v>
      </c>
      <c r="C29" s="12">
        <v>28</v>
      </c>
      <c r="D29" s="147" t="s">
        <v>2235</v>
      </c>
      <c r="E29" s="318" t="s">
        <v>2236</v>
      </c>
      <c r="F29" s="28" t="s">
        <v>58</v>
      </c>
      <c r="G29" s="28" t="s">
        <v>781</v>
      </c>
      <c r="H29" s="28" t="s">
        <v>1132</v>
      </c>
      <c r="I29" s="121" t="s">
        <v>2237</v>
      </c>
      <c r="J29" s="28">
        <v>2023</v>
      </c>
      <c r="K29" s="28">
        <v>2024</v>
      </c>
      <c r="L29" s="73" t="s">
        <v>2238</v>
      </c>
      <c r="M29" s="73" t="s">
        <v>2239</v>
      </c>
      <c r="N29" s="73" t="s">
        <v>2693</v>
      </c>
      <c r="O29" s="16" t="s">
        <v>59</v>
      </c>
      <c r="P29" s="28" t="s">
        <v>57</v>
      </c>
      <c r="Q29" s="48" t="s">
        <v>925</v>
      </c>
      <c r="R29" s="48" t="s">
        <v>926</v>
      </c>
      <c r="S29" s="28" t="s">
        <v>2629</v>
      </c>
      <c r="T29" s="12">
        <v>1</v>
      </c>
      <c r="U29" s="12"/>
      <c r="V29" s="17"/>
      <c r="W29" s="38"/>
      <c r="X29" s="12"/>
      <c r="Y29" s="17"/>
      <c r="Z29" s="57" t="s">
        <v>2240</v>
      </c>
      <c r="AA29" s="66"/>
    </row>
    <row r="30" spans="1:27" s="78" customFormat="1" ht="70">
      <c r="A30" s="13" t="s">
        <v>2559</v>
      </c>
      <c r="B30" s="13" t="s">
        <v>11</v>
      </c>
      <c r="C30" s="12">
        <v>29</v>
      </c>
      <c r="D30" s="93" t="s">
        <v>1363</v>
      </c>
      <c r="E30" s="89" t="s">
        <v>1364</v>
      </c>
      <c r="F30" s="12" t="s">
        <v>58</v>
      </c>
      <c r="G30" s="13" t="s">
        <v>3170</v>
      </c>
      <c r="H30" s="12" t="s">
        <v>1132</v>
      </c>
      <c r="I30" s="40" t="s">
        <v>107</v>
      </c>
      <c r="J30" s="12">
        <v>2004</v>
      </c>
      <c r="K30" s="13">
        <v>2008</v>
      </c>
      <c r="L30" s="51" t="s">
        <v>104</v>
      </c>
      <c r="M30" s="91" t="s">
        <v>161</v>
      </c>
      <c r="N30" s="92"/>
      <c r="O30" s="16" t="s">
        <v>59</v>
      </c>
      <c r="P30" s="16" t="s">
        <v>10</v>
      </c>
      <c r="Q30" s="15" t="s">
        <v>859</v>
      </c>
      <c r="R30" s="15" t="s">
        <v>860</v>
      </c>
      <c r="S30" s="28" t="s">
        <v>2631</v>
      </c>
      <c r="T30" s="12">
        <v>0</v>
      </c>
      <c r="U30" s="12"/>
      <c r="V30" s="17"/>
      <c r="W30" s="38"/>
      <c r="X30" s="12"/>
      <c r="Y30" s="17"/>
      <c r="Z30" s="67"/>
      <c r="AA30" s="66" t="s">
        <v>2794</v>
      </c>
    </row>
    <row r="31" spans="1:27" s="78" customFormat="1" ht="87.5">
      <c r="A31" s="13" t="s">
        <v>2559</v>
      </c>
      <c r="B31" s="13" t="s">
        <v>11</v>
      </c>
      <c r="C31" s="12">
        <v>30</v>
      </c>
      <c r="D31" s="93" t="s">
        <v>1361</v>
      </c>
      <c r="E31" s="89" t="s">
        <v>1362</v>
      </c>
      <c r="F31" s="12" t="s">
        <v>58</v>
      </c>
      <c r="G31" s="13" t="s">
        <v>3155</v>
      </c>
      <c r="H31" s="12" t="s">
        <v>1132</v>
      </c>
      <c r="I31" s="40" t="s">
        <v>106</v>
      </c>
      <c r="J31" s="12">
        <v>2008</v>
      </c>
      <c r="K31" s="13">
        <v>2011</v>
      </c>
      <c r="L31" s="51" t="s">
        <v>104</v>
      </c>
      <c r="M31" s="91" t="s">
        <v>161</v>
      </c>
      <c r="N31" s="91" t="s">
        <v>3187</v>
      </c>
      <c r="O31" s="16" t="s">
        <v>59</v>
      </c>
      <c r="P31" s="16" t="s">
        <v>10</v>
      </c>
      <c r="Q31" s="15" t="s">
        <v>859</v>
      </c>
      <c r="R31" s="15" t="s">
        <v>50</v>
      </c>
      <c r="S31" s="28" t="s">
        <v>2631</v>
      </c>
      <c r="T31" s="12">
        <v>0</v>
      </c>
      <c r="U31" s="12"/>
      <c r="V31" s="17"/>
      <c r="W31" s="38"/>
      <c r="X31" s="12"/>
      <c r="Y31" s="17"/>
      <c r="Z31" s="67"/>
      <c r="AA31" s="66"/>
    </row>
    <row r="32" spans="1:27" s="78" customFormat="1" ht="87.5">
      <c r="A32" s="13" t="s">
        <v>2559</v>
      </c>
      <c r="B32" s="13" t="s">
        <v>11</v>
      </c>
      <c r="C32" s="12">
        <v>31</v>
      </c>
      <c r="D32" s="93" t="s">
        <v>1359</v>
      </c>
      <c r="E32" s="89" t="s">
        <v>1360</v>
      </c>
      <c r="F32" s="12" t="s">
        <v>58</v>
      </c>
      <c r="G32" s="13" t="s">
        <v>3166</v>
      </c>
      <c r="H32" s="12" t="s">
        <v>1132</v>
      </c>
      <c r="I32" s="40" t="s">
        <v>103</v>
      </c>
      <c r="J32" s="12">
        <v>2010</v>
      </c>
      <c r="K32" s="16">
        <v>2013</v>
      </c>
      <c r="L32" s="51" t="s">
        <v>104</v>
      </c>
      <c r="M32" s="91" t="s">
        <v>161</v>
      </c>
      <c r="N32" s="15" t="s">
        <v>2161</v>
      </c>
      <c r="O32" s="16" t="s">
        <v>59</v>
      </c>
      <c r="P32" s="16" t="s">
        <v>10</v>
      </c>
      <c r="Q32" s="15" t="s">
        <v>859</v>
      </c>
      <c r="R32" s="15" t="s">
        <v>861</v>
      </c>
      <c r="S32" s="28" t="s">
        <v>2631</v>
      </c>
      <c r="T32" s="12">
        <v>0</v>
      </c>
      <c r="U32" s="12"/>
      <c r="V32" s="17"/>
      <c r="W32" s="38"/>
      <c r="X32" s="12"/>
      <c r="Y32" s="17"/>
      <c r="Z32" s="67"/>
      <c r="AA32" s="66"/>
    </row>
    <row r="33" spans="1:27" s="78" customFormat="1" ht="87.5">
      <c r="A33" s="13" t="s">
        <v>2559</v>
      </c>
      <c r="B33" s="13" t="s">
        <v>11</v>
      </c>
      <c r="C33" s="12">
        <v>32</v>
      </c>
      <c r="D33" s="276" t="s">
        <v>2115</v>
      </c>
      <c r="E33" s="15" t="s">
        <v>2116</v>
      </c>
      <c r="F33" s="12" t="s">
        <v>58</v>
      </c>
      <c r="G33" s="13" t="s">
        <v>153</v>
      </c>
      <c r="H33" s="12" t="s">
        <v>164</v>
      </c>
      <c r="I33" s="40" t="s">
        <v>2117</v>
      </c>
      <c r="J33" s="12">
        <v>2024</v>
      </c>
      <c r="K33" s="12">
        <v>2025</v>
      </c>
      <c r="L33" s="91" t="s">
        <v>104</v>
      </c>
      <c r="M33" s="91" t="s">
        <v>161</v>
      </c>
      <c r="N33" s="15" t="s">
        <v>201</v>
      </c>
      <c r="O33" s="16" t="s">
        <v>59</v>
      </c>
      <c r="P33" s="12" t="s">
        <v>57</v>
      </c>
      <c r="Q33" s="15" t="s">
        <v>864</v>
      </c>
      <c r="R33" s="15" t="s">
        <v>44</v>
      </c>
      <c r="S33" s="28" t="s">
        <v>2629</v>
      </c>
      <c r="T33" s="12">
        <v>1</v>
      </c>
      <c r="U33" s="12" t="s">
        <v>1781</v>
      </c>
      <c r="V33" s="17" t="s">
        <v>2118</v>
      </c>
      <c r="W33" s="38" t="s">
        <v>171</v>
      </c>
      <c r="X33" s="12" t="s">
        <v>2972</v>
      </c>
      <c r="Y33" s="17" t="s">
        <v>104</v>
      </c>
      <c r="Z33" s="67"/>
      <c r="AA33" s="66"/>
    </row>
    <row r="34" spans="1:27" s="78" customFormat="1" ht="87.5">
      <c r="A34" s="13" t="s">
        <v>2559</v>
      </c>
      <c r="B34" s="13" t="s">
        <v>11</v>
      </c>
      <c r="C34" s="12">
        <v>33</v>
      </c>
      <c r="D34" s="276" t="s">
        <v>848</v>
      </c>
      <c r="E34" s="286" t="s">
        <v>2691</v>
      </c>
      <c r="F34" s="12" t="s">
        <v>770</v>
      </c>
      <c r="G34" s="12" t="s">
        <v>849</v>
      </c>
      <c r="H34" s="12" t="s">
        <v>164</v>
      </c>
      <c r="I34" s="90" t="s">
        <v>159</v>
      </c>
      <c r="J34" s="12">
        <v>2022</v>
      </c>
      <c r="K34" s="164">
        <v>2025</v>
      </c>
      <c r="L34" s="91" t="s">
        <v>160</v>
      </c>
      <c r="M34" s="91" t="s">
        <v>161</v>
      </c>
      <c r="N34" s="12"/>
      <c r="O34" s="15" t="s">
        <v>763</v>
      </c>
      <c r="P34" s="12" t="s">
        <v>538</v>
      </c>
      <c r="Q34" s="15" t="s">
        <v>859</v>
      </c>
      <c r="R34" s="15" t="s">
        <v>862</v>
      </c>
      <c r="S34" s="28" t="s">
        <v>2631</v>
      </c>
      <c r="T34" s="12">
        <v>0</v>
      </c>
      <c r="U34" s="12"/>
      <c r="V34" s="17"/>
      <c r="W34" s="38"/>
      <c r="X34" s="12"/>
      <c r="Y34" s="17"/>
      <c r="Z34" s="67"/>
      <c r="AA34" s="66"/>
    </row>
    <row r="35" spans="1:27" s="78" customFormat="1" ht="70">
      <c r="A35" s="13" t="s">
        <v>2559</v>
      </c>
      <c r="B35" s="13" t="s">
        <v>11</v>
      </c>
      <c r="C35" s="12">
        <v>34</v>
      </c>
      <c r="D35" s="252" t="s">
        <v>2110</v>
      </c>
      <c r="E35" s="15" t="s">
        <v>2111</v>
      </c>
      <c r="F35" s="12" t="s">
        <v>58</v>
      </c>
      <c r="G35" s="13" t="s">
        <v>153</v>
      </c>
      <c r="H35" s="12" t="s">
        <v>164</v>
      </c>
      <c r="I35" s="40" t="s">
        <v>2112</v>
      </c>
      <c r="J35" s="12">
        <v>2024</v>
      </c>
      <c r="K35" s="12">
        <v>2025</v>
      </c>
      <c r="L35" s="91" t="s">
        <v>2113</v>
      </c>
      <c r="M35" s="91" t="s">
        <v>168</v>
      </c>
      <c r="N35" s="15" t="s">
        <v>201</v>
      </c>
      <c r="O35" s="16" t="s">
        <v>59</v>
      </c>
      <c r="P35" s="12" t="s">
        <v>57</v>
      </c>
      <c r="Q35" s="15" t="s">
        <v>864</v>
      </c>
      <c r="R35" s="15" t="s">
        <v>44</v>
      </c>
      <c r="S35" s="28" t="s">
        <v>2629</v>
      </c>
      <c r="T35" s="12">
        <v>1</v>
      </c>
      <c r="U35" s="12" t="s">
        <v>1781</v>
      </c>
      <c r="V35" s="17" t="s">
        <v>2114</v>
      </c>
      <c r="W35" s="38" t="s">
        <v>171</v>
      </c>
      <c r="X35" s="12" t="s">
        <v>2972</v>
      </c>
      <c r="Y35" s="17" t="s">
        <v>170</v>
      </c>
      <c r="Z35" s="67"/>
      <c r="AA35" s="66"/>
    </row>
    <row r="36" spans="1:27" s="78" customFormat="1" ht="52.5">
      <c r="A36" s="13" t="s">
        <v>2559</v>
      </c>
      <c r="B36" s="13" t="s">
        <v>56</v>
      </c>
      <c r="C36" s="12">
        <v>35</v>
      </c>
      <c r="D36" s="69" t="s">
        <v>1490</v>
      </c>
      <c r="E36" s="15" t="s">
        <v>1491</v>
      </c>
      <c r="F36" s="12" t="s">
        <v>58</v>
      </c>
      <c r="G36" s="13" t="s">
        <v>269</v>
      </c>
      <c r="H36" s="12" t="s">
        <v>1132</v>
      </c>
      <c r="I36" s="40" t="s">
        <v>270</v>
      </c>
      <c r="J36" s="28">
        <v>2006</v>
      </c>
      <c r="K36" s="28">
        <v>2008</v>
      </c>
      <c r="L36" s="41" t="s">
        <v>271</v>
      </c>
      <c r="M36" s="15"/>
      <c r="N36" s="12"/>
      <c r="O36" s="16" t="s">
        <v>59</v>
      </c>
      <c r="P36" s="16" t="s">
        <v>57</v>
      </c>
      <c r="Q36" s="15" t="s">
        <v>859</v>
      </c>
      <c r="R36" s="15" t="s">
        <v>93</v>
      </c>
      <c r="S36" s="28" t="s">
        <v>2631</v>
      </c>
      <c r="T36" s="12">
        <v>0</v>
      </c>
      <c r="U36" s="12"/>
      <c r="V36" s="17"/>
      <c r="W36" s="38"/>
      <c r="X36" s="12"/>
      <c r="Y36" s="17"/>
      <c r="Z36" s="67"/>
      <c r="AA36" s="66"/>
    </row>
    <row r="37" spans="1:27" s="78" customFormat="1" ht="70">
      <c r="A37" s="13" t="s">
        <v>2559</v>
      </c>
      <c r="B37" s="13" t="s">
        <v>56</v>
      </c>
      <c r="C37" s="12">
        <v>36</v>
      </c>
      <c r="D37" s="69" t="s">
        <v>1492</v>
      </c>
      <c r="E37" s="15" t="s">
        <v>1493</v>
      </c>
      <c r="F37" s="12" t="s">
        <v>58</v>
      </c>
      <c r="G37" s="13" t="s">
        <v>267</v>
      </c>
      <c r="H37" s="12" t="s">
        <v>1132</v>
      </c>
      <c r="I37" s="40" t="s">
        <v>272</v>
      </c>
      <c r="J37" s="28">
        <v>2012</v>
      </c>
      <c r="K37" s="28">
        <v>2016</v>
      </c>
      <c r="L37" s="41" t="s">
        <v>271</v>
      </c>
      <c r="M37" s="15"/>
      <c r="N37" s="12"/>
      <c r="O37" s="16" t="s">
        <v>59</v>
      </c>
      <c r="P37" s="16" t="s">
        <v>57</v>
      </c>
      <c r="Q37" s="15" t="s">
        <v>859</v>
      </c>
      <c r="R37" s="15" t="s">
        <v>860</v>
      </c>
      <c r="S37" s="28" t="s">
        <v>2631</v>
      </c>
      <c r="T37" s="12">
        <v>0</v>
      </c>
      <c r="U37" s="12"/>
      <c r="V37" s="17"/>
      <c r="W37" s="38"/>
      <c r="X37" s="12"/>
      <c r="Y37" s="17"/>
      <c r="Z37" s="67"/>
      <c r="AA37" s="66"/>
    </row>
    <row r="38" spans="1:27" s="78" customFormat="1" ht="70">
      <c r="A38" s="13" t="s">
        <v>2559</v>
      </c>
      <c r="B38" s="13" t="s">
        <v>56</v>
      </c>
      <c r="C38" s="12">
        <v>37</v>
      </c>
      <c r="D38" s="253" t="s">
        <v>1494</v>
      </c>
      <c r="E38" s="15" t="s">
        <v>1495</v>
      </c>
      <c r="F38" s="12" t="s">
        <v>58</v>
      </c>
      <c r="G38" s="13" t="s">
        <v>273</v>
      </c>
      <c r="H38" s="12" t="s">
        <v>1132</v>
      </c>
      <c r="I38" s="40" t="s">
        <v>274</v>
      </c>
      <c r="J38" s="28">
        <v>2014</v>
      </c>
      <c r="K38" s="28">
        <v>2019</v>
      </c>
      <c r="L38" s="41" t="s">
        <v>271</v>
      </c>
      <c r="M38" s="15"/>
      <c r="N38" s="12"/>
      <c r="O38" s="16" t="s">
        <v>59</v>
      </c>
      <c r="P38" s="16" t="s">
        <v>57</v>
      </c>
      <c r="Q38" s="15" t="s">
        <v>925</v>
      </c>
      <c r="R38" s="15" t="s">
        <v>926</v>
      </c>
      <c r="S38" s="28" t="s">
        <v>2631</v>
      </c>
      <c r="T38" s="12">
        <v>0</v>
      </c>
      <c r="U38" s="12"/>
      <c r="V38" s="17"/>
      <c r="W38" s="38"/>
      <c r="X38" s="12"/>
      <c r="Y38" s="17"/>
      <c r="Z38" s="67"/>
      <c r="AA38" s="66"/>
    </row>
    <row r="39" spans="1:27" s="78" customFormat="1" ht="87.5">
      <c r="A39" s="13" t="s">
        <v>2559</v>
      </c>
      <c r="B39" s="13" t="s">
        <v>56</v>
      </c>
      <c r="C39" s="12">
        <v>38</v>
      </c>
      <c r="D39" s="33" t="s">
        <v>1496</v>
      </c>
      <c r="E39" s="309" t="s">
        <v>1497</v>
      </c>
      <c r="F39" s="12" t="s">
        <v>58</v>
      </c>
      <c r="G39" s="13" t="s">
        <v>275</v>
      </c>
      <c r="H39" s="12" t="s">
        <v>1132</v>
      </c>
      <c r="I39" s="40" t="s">
        <v>276</v>
      </c>
      <c r="J39" s="28">
        <v>2017</v>
      </c>
      <c r="K39" s="28">
        <v>2019</v>
      </c>
      <c r="L39" s="41" t="s">
        <v>271</v>
      </c>
      <c r="M39" s="15"/>
      <c r="N39" s="12"/>
      <c r="O39" s="16" t="s">
        <v>59</v>
      </c>
      <c r="P39" s="16" t="s">
        <v>57</v>
      </c>
      <c r="Q39" s="15" t="s">
        <v>925</v>
      </c>
      <c r="R39" s="15" t="s">
        <v>926</v>
      </c>
      <c r="S39" s="28" t="s">
        <v>2631</v>
      </c>
      <c r="T39" s="12">
        <v>0</v>
      </c>
      <c r="U39" s="12"/>
      <c r="V39" s="17"/>
      <c r="W39" s="38"/>
      <c r="X39" s="12"/>
      <c r="Y39" s="17"/>
      <c r="Z39" s="67"/>
      <c r="AA39" s="66"/>
    </row>
    <row r="40" spans="1:27" s="78" customFormat="1" ht="70">
      <c r="A40" s="13" t="s">
        <v>2559</v>
      </c>
      <c r="B40" s="13" t="s">
        <v>11</v>
      </c>
      <c r="C40" s="12">
        <v>39</v>
      </c>
      <c r="D40" s="36" t="s">
        <v>1266</v>
      </c>
      <c r="E40" s="313" t="s">
        <v>1666</v>
      </c>
      <c r="F40" s="12" t="s">
        <v>58</v>
      </c>
      <c r="G40" s="45" t="s">
        <v>349</v>
      </c>
      <c r="H40" s="12" t="s">
        <v>1132</v>
      </c>
      <c r="I40" s="40" t="s">
        <v>357</v>
      </c>
      <c r="J40" s="12">
        <v>2019</v>
      </c>
      <c r="K40" s="12">
        <v>2020</v>
      </c>
      <c r="L40" s="53" t="s">
        <v>271</v>
      </c>
      <c r="M40" s="16" t="s">
        <v>2504</v>
      </c>
      <c r="N40" s="28" t="s">
        <v>1134</v>
      </c>
      <c r="O40" s="16" t="s">
        <v>59</v>
      </c>
      <c r="P40" s="12" t="s">
        <v>57</v>
      </c>
      <c r="Q40" s="16" t="s">
        <v>925</v>
      </c>
      <c r="R40" s="15" t="s">
        <v>26</v>
      </c>
      <c r="S40" s="28" t="s">
        <v>2631</v>
      </c>
      <c r="T40" s="12">
        <v>0</v>
      </c>
      <c r="U40" s="12"/>
      <c r="V40" s="17"/>
      <c r="W40" s="38"/>
      <c r="X40" s="12"/>
      <c r="Y40" s="17"/>
      <c r="Z40" s="83"/>
      <c r="AA40" s="66" t="s">
        <v>2794</v>
      </c>
    </row>
    <row r="41" spans="1:27" s="78" customFormat="1" ht="70">
      <c r="A41" s="13" t="s">
        <v>2559</v>
      </c>
      <c r="B41" s="13" t="s">
        <v>11</v>
      </c>
      <c r="C41" s="12">
        <v>40</v>
      </c>
      <c r="D41" s="36" t="s">
        <v>1266</v>
      </c>
      <c r="E41" s="308" t="s">
        <v>1667</v>
      </c>
      <c r="F41" s="12" t="s">
        <v>58</v>
      </c>
      <c r="G41" s="45" t="s">
        <v>349</v>
      </c>
      <c r="H41" s="12" t="s">
        <v>1132</v>
      </c>
      <c r="I41" s="40" t="s">
        <v>357</v>
      </c>
      <c r="J41" s="12">
        <v>2019</v>
      </c>
      <c r="K41" s="12">
        <v>2020</v>
      </c>
      <c r="L41" s="53" t="s">
        <v>271</v>
      </c>
      <c r="M41" s="16" t="s">
        <v>2504</v>
      </c>
      <c r="N41" s="28" t="s">
        <v>1134</v>
      </c>
      <c r="O41" s="16" t="s">
        <v>59</v>
      </c>
      <c r="P41" s="12" t="s">
        <v>57</v>
      </c>
      <c r="Q41" s="16" t="s">
        <v>925</v>
      </c>
      <c r="R41" s="15" t="s">
        <v>26</v>
      </c>
      <c r="S41" s="28" t="s">
        <v>2631</v>
      </c>
      <c r="T41" s="12"/>
      <c r="U41" s="12"/>
      <c r="V41" s="17"/>
      <c r="W41" s="38"/>
      <c r="X41" s="12"/>
      <c r="Y41" s="17"/>
      <c r="Z41" s="83"/>
      <c r="AA41" s="66"/>
    </row>
    <row r="42" spans="1:27" s="78" customFormat="1" ht="105">
      <c r="A42" s="13" t="s">
        <v>2559</v>
      </c>
      <c r="B42" s="13" t="s">
        <v>11</v>
      </c>
      <c r="C42" s="12">
        <v>41</v>
      </c>
      <c r="D42" s="36" t="s">
        <v>1269</v>
      </c>
      <c r="E42" s="308" t="s">
        <v>1668</v>
      </c>
      <c r="F42" s="12" t="s">
        <v>58</v>
      </c>
      <c r="G42" s="321" t="s">
        <v>349</v>
      </c>
      <c r="H42" s="12" t="s">
        <v>1132</v>
      </c>
      <c r="I42" s="40" t="s">
        <v>359</v>
      </c>
      <c r="J42" s="12">
        <v>2019</v>
      </c>
      <c r="K42" s="12">
        <v>2020</v>
      </c>
      <c r="L42" s="53" t="s">
        <v>271</v>
      </c>
      <c r="M42" s="154" t="s">
        <v>2504</v>
      </c>
      <c r="N42" s="28" t="s">
        <v>1134</v>
      </c>
      <c r="O42" s="16" t="s">
        <v>59</v>
      </c>
      <c r="P42" s="12" t="s">
        <v>57</v>
      </c>
      <c r="Q42" s="16" t="s">
        <v>925</v>
      </c>
      <c r="R42" s="15" t="s">
        <v>26</v>
      </c>
      <c r="S42" s="28" t="s">
        <v>2631</v>
      </c>
      <c r="T42" s="12"/>
      <c r="U42" s="12"/>
      <c r="V42" s="17"/>
      <c r="W42" s="38"/>
      <c r="X42" s="12"/>
      <c r="Y42" s="17"/>
      <c r="Z42" s="83"/>
      <c r="AA42" s="66"/>
    </row>
    <row r="43" spans="1:27" s="78" customFormat="1" ht="70">
      <c r="A43" s="13" t="s">
        <v>2559</v>
      </c>
      <c r="B43" s="13" t="s">
        <v>11</v>
      </c>
      <c r="C43" s="12">
        <v>42</v>
      </c>
      <c r="D43" s="38" t="s">
        <v>927</v>
      </c>
      <c r="E43" s="307" t="s">
        <v>928</v>
      </c>
      <c r="F43" s="12" t="s">
        <v>224</v>
      </c>
      <c r="G43" s="61" t="s">
        <v>398</v>
      </c>
      <c r="H43" s="12" t="s">
        <v>164</v>
      </c>
      <c r="I43" s="40" t="s">
        <v>399</v>
      </c>
      <c r="J43" s="12">
        <v>2020</v>
      </c>
      <c r="K43" s="12">
        <v>2025</v>
      </c>
      <c r="L43" s="51" t="s">
        <v>271</v>
      </c>
      <c r="M43" s="342" t="s">
        <v>358</v>
      </c>
      <c r="N43" s="12"/>
      <c r="O43" s="16" t="s">
        <v>59</v>
      </c>
      <c r="P43" s="12" t="s">
        <v>57</v>
      </c>
      <c r="Q43" s="15" t="s">
        <v>925</v>
      </c>
      <c r="R43" s="15" t="s">
        <v>926</v>
      </c>
      <c r="S43" s="28" t="s">
        <v>2631</v>
      </c>
      <c r="T43" s="12">
        <v>0</v>
      </c>
      <c r="U43" s="12"/>
      <c r="V43" s="17"/>
      <c r="W43" s="38"/>
      <c r="X43" s="12"/>
      <c r="Y43" s="17"/>
      <c r="Z43" s="67"/>
      <c r="AA43" s="66"/>
    </row>
    <row r="44" spans="1:27" s="78" customFormat="1" ht="52.5">
      <c r="A44" s="13" t="s">
        <v>2559</v>
      </c>
      <c r="B44" s="28" t="s">
        <v>56</v>
      </c>
      <c r="C44" s="12">
        <v>43</v>
      </c>
      <c r="D44" s="47" t="s">
        <v>2228</v>
      </c>
      <c r="E44" s="311" t="s">
        <v>2229</v>
      </c>
      <c r="F44" s="28" t="s">
        <v>58</v>
      </c>
      <c r="G44" s="71" t="s">
        <v>781</v>
      </c>
      <c r="H44" s="28" t="s">
        <v>164</v>
      </c>
      <c r="I44" s="121" t="s">
        <v>2230</v>
      </c>
      <c r="J44" s="28">
        <v>2024</v>
      </c>
      <c r="K44" s="28">
        <v>2026</v>
      </c>
      <c r="L44" s="73" t="s">
        <v>271</v>
      </c>
      <c r="M44" s="73" t="s">
        <v>358</v>
      </c>
      <c r="N44" s="28" t="s">
        <v>1134</v>
      </c>
      <c r="O44" s="16" t="s">
        <v>59</v>
      </c>
      <c r="P44" s="28" t="s">
        <v>57</v>
      </c>
      <c r="Q44" s="48" t="s">
        <v>859</v>
      </c>
      <c r="R44" s="48" t="s">
        <v>861</v>
      </c>
      <c r="S44" s="28" t="s">
        <v>2631</v>
      </c>
      <c r="T44" s="12">
        <v>0</v>
      </c>
      <c r="U44" s="12"/>
      <c r="V44" s="17"/>
      <c r="W44" s="38"/>
      <c r="X44" s="12"/>
      <c r="Y44" s="17"/>
      <c r="Z44" s="57"/>
      <c r="AA44" s="66"/>
    </row>
    <row r="45" spans="1:27" s="78" customFormat="1" ht="52.5">
      <c r="A45" s="13" t="s">
        <v>2559</v>
      </c>
      <c r="B45" s="13" t="s">
        <v>11</v>
      </c>
      <c r="C45" s="12">
        <v>44</v>
      </c>
      <c r="D45" s="38" t="s">
        <v>921</v>
      </c>
      <c r="E45" s="15" t="s">
        <v>922</v>
      </c>
      <c r="F45" s="12" t="s">
        <v>224</v>
      </c>
      <c r="G45" s="96" t="s">
        <v>804</v>
      </c>
      <c r="H45" s="12" t="s">
        <v>164</v>
      </c>
      <c r="I45" s="40" t="s">
        <v>396</v>
      </c>
      <c r="J45" s="12">
        <v>2018</v>
      </c>
      <c r="K45" s="12">
        <v>2024</v>
      </c>
      <c r="L45" s="91" t="s">
        <v>917</v>
      </c>
      <c r="M45" s="91" t="s">
        <v>918</v>
      </c>
      <c r="N45" s="92"/>
      <c r="O45" s="16" t="s">
        <v>59</v>
      </c>
      <c r="P45" s="12" t="s">
        <v>57</v>
      </c>
      <c r="Q45" s="15" t="s">
        <v>925</v>
      </c>
      <c r="R45" s="15" t="s">
        <v>926</v>
      </c>
      <c r="S45" s="28" t="s">
        <v>2631</v>
      </c>
      <c r="T45" s="12">
        <v>0</v>
      </c>
      <c r="U45" s="12"/>
      <c r="V45" s="17"/>
      <c r="W45" s="38"/>
      <c r="X45" s="12"/>
      <c r="Y45" s="17"/>
      <c r="Z45" s="67"/>
      <c r="AA45" s="66"/>
    </row>
    <row r="46" spans="1:27" s="78" customFormat="1" ht="70">
      <c r="A46" s="13" t="s">
        <v>2559</v>
      </c>
      <c r="B46" s="13" t="s">
        <v>11</v>
      </c>
      <c r="C46" s="12">
        <v>45</v>
      </c>
      <c r="D46" s="38" t="s">
        <v>923</v>
      </c>
      <c r="E46" s="15" t="s">
        <v>924</v>
      </c>
      <c r="F46" s="12" t="s">
        <v>224</v>
      </c>
      <c r="G46" s="96" t="s">
        <v>804</v>
      </c>
      <c r="H46" s="12" t="s">
        <v>164</v>
      </c>
      <c r="I46" s="40" t="s">
        <v>397</v>
      </c>
      <c r="J46" s="12">
        <v>2018</v>
      </c>
      <c r="K46" s="12">
        <v>2024</v>
      </c>
      <c r="L46" s="15" t="s">
        <v>917</v>
      </c>
      <c r="M46" s="15" t="s">
        <v>918</v>
      </c>
      <c r="N46" s="12"/>
      <c r="O46" s="16" t="s">
        <v>59</v>
      </c>
      <c r="P46" s="12" t="s">
        <v>57</v>
      </c>
      <c r="Q46" s="15" t="s">
        <v>925</v>
      </c>
      <c r="R46" s="15" t="s">
        <v>926</v>
      </c>
      <c r="S46" s="28" t="s">
        <v>2631</v>
      </c>
      <c r="T46" s="12">
        <v>0</v>
      </c>
      <c r="U46" s="12"/>
      <c r="V46" s="17"/>
      <c r="W46" s="38"/>
      <c r="X46" s="12"/>
      <c r="Y46" s="17"/>
      <c r="Z46" s="67"/>
      <c r="AA46" s="66"/>
    </row>
    <row r="47" spans="1:27" s="78" customFormat="1" ht="52.5">
      <c r="A47" s="13" t="s">
        <v>2559</v>
      </c>
      <c r="B47" s="13" t="s">
        <v>11</v>
      </c>
      <c r="C47" s="12">
        <v>46</v>
      </c>
      <c r="D47" s="38" t="s">
        <v>915</v>
      </c>
      <c r="E47" s="15" t="s">
        <v>916</v>
      </c>
      <c r="F47" s="12" t="s">
        <v>58</v>
      </c>
      <c r="G47" s="96" t="s">
        <v>794</v>
      </c>
      <c r="H47" s="12" t="s">
        <v>164</v>
      </c>
      <c r="I47" s="40" t="s">
        <v>394</v>
      </c>
      <c r="J47" s="12">
        <v>2020</v>
      </c>
      <c r="K47" s="29">
        <v>2025</v>
      </c>
      <c r="L47" s="15" t="s">
        <v>917</v>
      </c>
      <c r="M47" s="15" t="s">
        <v>918</v>
      </c>
      <c r="N47" s="12" t="s">
        <v>1134</v>
      </c>
      <c r="O47" s="16" t="s">
        <v>59</v>
      </c>
      <c r="P47" s="12" t="s">
        <v>57</v>
      </c>
      <c r="Q47" s="15" t="s">
        <v>925</v>
      </c>
      <c r="R47" s="15" t="s">
        <v>926</v>
      </c>
      <c r="S47" s="28" t="s">
        <v>2631</v>
      </c>
      <c r="T47" s="12">
        <v>0</v>
      </c>
      <c r="U47" s="12"/>
      <c r="V47" s="17"/>
      <c r="W47" s="38"/>
      <c r="X47" s="12"/>
      <c r="Y47" s="17"/>
      <c r="Z47" s="67"/>
      <c r="AA47" s="66"/>
    </row>
    <row r="48" spans="1:27" s="78" customFormat="1" ht="52.5">
      <c r="A48" s="13" t="s">
        <v>2559</v>
      </c>
      <c r="B48" s="13" t="s">
        <v>11</v>
      </c>
      <c r="C48" s="12">
        <v>47</v>
      </c>
      <c r="D48" s="38" t="s">
        <v>919</v>
      </c>
      <c r="E48" s="15" t="s">
        <v>920</v>
      </c>
      <c r="F48" s="12" t="s">
        <v>58</v>
      </c>
      <c r="G48" s="96" t="s">
        <v>202</v>
      </c>
      <c r="H48" s="12" t="s">
        <v>164</v>
      </c>
      <c r="I48" s="40" t="s">
        <v>395</v>
      </c>
      <c r="J48" s="12">
        <v>2023</v>
      </c>
      <c r="K48" s="29">
        <v>2024</v>
      </c>
      <c r="L48" s="91" t="s">
        <v>917</v>
      </c>
      <c r="M48" s="91" t="s">
        <v>918</v>
      </c>
      <c r="N48" s="92" t="s">
        <v>1134</v>
      </c>
      <c r="O48" s="16" t="s">
        <v>59</v>
      </c>
      <c r="P48" s="12" t="s">
        <v>57</v>
      </c>
      <c r="Q48" s="15" t="s">
        <v>925</v>
      </c>
      <c r="R48" s="15" t="s">
        <v>926</v>
      </c>
      <c r="S48" s="28" t="s">
        <v>2631</v>
      </c>
      <c r="T48" s="12">
        <v>0</v>
      </c>
      <c r="U48" s="12"/>
      <c r="V48" s="17"/>
      <c r="W48" s="38"/>
      <c r="X48" s="12"/>
      <c r="Y48" s="17"/>
      <c r="Z48" s="67"/>
      <c r="AA48" s="66"/>
    </row>
    <row r="49" spans="1:27" s="78" customFormat="1" ht="52.5">
      <c r="A49" s="13" t="s">
        <v>2559</v>
      </c>
      <c r="B49" s="13" t="s">
        <v>56</v>
      </c>
      <c r="C49" s="12">
        <v>48</v>
      </c>
      <c r="D49" s="33" t="s">
        <v>1506</v>
      </c>
      <c r="E49" s="15" t="s">
        <v>1507</v>
      </c>
      <c r="F49" s="12" t="s">
        <v>224</v>
      </c>
      <c r="G49" s="41" t="s">
        <v>3149</v>
      </c>
      <c r="H49" s="12" t="s">
        <v>1132</v>
      </c>
      <c r="I49" s="40" t="s">
        <v>285</v>
      </c>
      <c r="J49" s="28">
        <v>2002</v>
      </c>
      <c r="K49" s="28">
        <v>2006</v>
      </c>
      <c r="L49" s="51" t="s">
        <v>286</v>
      </c>
      <c r="M49" s="91"/>
      <c r="N49" s="92"/>
      <c r="O49" s="16" t="s">
        <v>59</v>
      </c>
      <c r="P49" s="16" t="s">
        <v>57</v>
      </c>
      <c r="Q49" s="16" t="s">
        <v>891</v>
      </c>
      <c r="R49" s="15" t="s">
        <v>93</v>
      </c>
      <c r="S49" s="28" t="s">
        <v>2631</v>
      </c>
      <c r="T49" s="12">
        <v>0</v>
      </c>
      <c r="U49" s="12"/>
      <c r="V49" s="17"/>
      <c r="W49" s="38"/>
      <c r="X49" s="12"/>
      <c r="Y49" s="17"/>
      <c r="Z49" s="67"/>
      <c r="AA49" s="66"/>
    </row>
    <row r="50" spans="1:27" s="78" customFormat="1" ht="52.5">
      <c r="A50" s="13" t="s">
        <v>2559</v>
      </c>
      <c r="B50" s="13" t="s">
        <v>56</v>
      </c>
      <c r="C50" s="12">
        <v>49</v>
      </c>
      <c r="D50" s="33" t="s">
        <v>1504</v>
      </c>
      <c r="E50" s="15" t="s">
        <v>1505</v>
      </c>
      <c r="F50" s="12" t="s">
        <v>58</v>
      </c>
      <c r="G50" s="41" t="s">
        <v>282</v>
      </c>
      <c r="H50" s="12" t="s">
        <v>1132</v>
      </c>
      <c r="I50" s="40" t="s">
        <v>284</v>
      </c>
      <c r="J50" s="28">
        <v>2008</v>
      </c>
      <c r="K50" s="28">
        <v>2009</v>
      </c>
      <c r="L50" s="51" t="s">
        <v>281</v>
      </c>
      <c r="M50" s="91"/>
      <c r="N50" s="12"/>
      <c r="O50" s="16" t="s">
        <v>59</v>
      </c>
      <c r="P50" s="16" t="s">
        <v>57</v>
      </c>
      <c r="Q50" s="16" t="s">
        <v>891</v>
      </c>
      <c r="R50" s="15" t="s">
        <v>93</v>
      </c>
      <c r="S50" s="28" t="s">
        <v>2631</v>
      </c>
      <c r="T50" s="12">
        <v>0</v>
      </c>
      <c r="U50" s="12"/>
      <c r="V50" s="17"/>
      <c r="W50" s="38"/>
      <c r="X50" s="12"/>
      <c r="Y50" s="17"/>
      <c r="Z50" s="67"/>
      <c r="AA50" s="66"/>
    </row>
    <row r="51" spans="1:27" s="78" customFormat="1" ht="70">
      <c r="A51" s="13" t="s">
        <v>2559</v>
      </c>
      <c r="B51" s="13" t="s">
        <v>56</v>
      </c>
      <c r="C51" s="12">
        <v>50</v>
      </c>
      <c r="D51" s="33" t="s">
        <v>1500</v>
      </c>
      <c r="E51" s="15" t="s">
        <v>1501</v>
      </c>
      <c r="F51" s="12" t="s">
        <v>58</v>
      </c>
      <c r="G51" s="41" t="s">
        <v>279</v>
      </c>
      <c r="H51" s="12" t="s">
        <v>1132</v>
      </c>
      <c r="I51" s="40" t="s">
        <v>280</v>
      </c>
      <c r="J51" s="28">
        <v>2009</v>
      </c>
      <c r="K51" s="28">
        <v>2012</v>
      </c>
      <c r="L51" s="51" t="s">
        <v>281</v>
      </c>
      <c r="M51" s="91"/>
      <c r="N51" s="12"/>
      <c r="O51" s="16" t="s">
        <v>59</v>
      </c>
      <c r="P51" s="16" t="s">
        <v>57</v>
      </c>
      <c r="Q51" s="16" t="s">
        <v>891</v>
      </c>
      <c r="R51" s="15" t="s">
        <v>93</v>
      </c>
      <c r="S51" s="28" t="s">
        <v>2631</v>
      </c>
      <c r="T51" s="12">
        <v>0</v>
      </c>
      <c r="U51" s="12"/>
      <c r="V51" s="17"/>
      <c r="W51" s="38"/>
      <c r="X51" s="12"/>
      <c r="Y51" s="17"/>
      <c r="Z51" s="67"/>
      <c r="AA51" s="66" t="s">
        <v>2795</v>
      </c>
    </row>
    <row r="52" spans="1:27" s="78" customFormat="1" ht="52.5">
      <c r="A52" s="13" t="s">
        <v>2559</v>
      </c>
      <c r="B52" s="13" t="s">
        <v>56</v>
      </c>
      <c r="C52" s="12">
        <v>51</v>
      </c>
      <c r="D52" s="33" t="s">
        <v>1502</v>
      </c>
      <c r="E52" s="15" t="s">
        <v>1503</v>
      </c>
      <c r="F52" s="12" t="s">
        <v>58</v>
      </c>
      <c r="G52" s="41" t="s">
        <v>282</v>
      </c>
      <c r="H52" s="12" t="s">
        <v>1132</v>
      </c>
      <c r="I52" s="40" t="s">
        <v>283</v>
      </c>
      <c r="J52" s="28">
        <v>2009</v>
      </c>
      <c r="K52" s="28">
        <v>2011</v>
      </c>
      <c r="L52" s="51" t="s">
        <v>281</v>
      </c>
      <c r="M52" s="91"/>
      <c r="N52" s="12"/>
      <c r="O52" s="16" t="s">
        <v>59</v>
      </c>
      <c r="P52" s="16" t="s">
        <v>57</v>
      </c>
      <c r="Q52" s="16" t="s">
        <v>891</v>
      </c>
      <c r="R52" s="15" t="s">
        <v>93</v>
      </c>
      <c r="S52" s="28" t="s">
        <v>2631</v>
      </c>
      <c r="T52" s="12">
        <v>0</v>
      </c>
      <c r="U52" s="12"/>
      <c r="V52" s="17"/>
      <c r="W52" s="38"/>
      <c r="X52" s="12"/>
      <c r="Y52" s="17"/>
      <c r="Z52" s="67"/>
      <c r="AA52" s="66"/>
    </row>
    <row r="53" spans="1:27" s="78" customFormat="1" ht="52.5">
      <c r="A53" s="13" t="s">
        <v>2559</v>
      </c>
      <c r="B53" s="13" t="s">
        <v>11</v>
      </c>
      <c r="C53" s="12">
        <v>52</v>
      </c>
      <c r="D53" s="36" t="s">
        <v>1268</v>
      </c>
      <c r="E53" s="39" t="s">
        <v>1663</v>
      </c>
      <c r="F53" s="12" t="s">
        <v>58</v>
      </c>
      <c r="G53" s="321" t="s">
        <v>349</v>
      </c>
      <c r="H53" s="12" t="s">
        <v>1132</v>
      </c>
      <c r="I53" s="40" t="s">
        <v>352</v>
      </c>
      <c r="J53" s="12">
        <v>2015</v>
      </c>
      <c r="K53" s="12">
        <v>2020</v>
      </c>
      <c r="L53" s="53" t="s">
        <v>1265</v>
      </c>
      <c r="M53" s="53" t="s">
        <v>2502</v>
      </c>
      <c r="N53" s="51" t="s">
        <v>2693</v>
      </c>
      <c r="O53" s="16" t="s">
        <v>59</v>
      </c>
      <c r="P53" s="12" t="s">
        <v>57</v>
      </c>
      <c r="Q53" s="16" t="s">
        <v>925</v>
      </c>
      <c r="R53" s="15" t="s">
        <v>26</v>
      </c>
      <c r="S53" s="28" t="s">
        <v>2631</v>
      </c>
      <c r="T53" s="12">
        <v>0</v>
      </c>
      <c r="U53" s="12"/>
      <c r="V53" s="17"/>
      <c r="W53" s="38"/>
      <c r="X53" s="12"/>
      <c r="Y53" s="17"/>
      <c r="Z53" s="83"/>
      <c r="AA53" s="167"/>
    </row>
    <row r="54" spans="1:27" s="78" customFormat="1" ht="52.5">
      <c r="A54" s="13" t="s">
        <v>2559</v>
      </c>
      <c r="B54" s="13" t="s">
        <v>11</v>
      </c>
      <c r="C54" s="12">
        <v>53</v>
      </c>
      <c r="D54" s="38" t="s">
        <v>911</v>
      </c>
      <c r="E54" s="15" t="s">
        <v>912</v>
      </c>
      <c r="F54" s="12" t="s">
        <v>58</v>
      </c>
      <c r="G54" s="96" t="s">
        <v>202</v>
      </c>
      <c r="H54" s="12" t="s">
        <v>164</v>
      </c>
      <c r="I54" s="40" t="s">
        <v>393</v>
      </c>
      <c r="J54" s="12">
        <v>2019</v>
      </c>
      <c r="K54" s="12">
        <v>2024</v>
      </c>
      <c r="L54" s="91" t="s">
        <v>913</v>
      </c>
      <c r="M54" s="91" t="s">
        <v>914</v>
      </c>
      <c r="N54" s="92" t="s">
        <v>1183</v>
      </c>
      <c r="O54" s="16" t="s">
        <v>59</v>
      </c>
      <c r="P54" s="12" t="s">
        <v>57</v>
      </c>
      <c r="Q54" s="15" t="s">
        <v>859</v>
      </c>
      <c r="R54" s="15" t="s">
        <v>860</v>
      </c>
      <c r="S54" s="28" t="s">
        <v>2631</v>
      </c>
      <c r="T54" s="12">
        <v>0</v>
      </c>
      <c r="U54" s="12"/>
      <c r="V54" s="17"/>
      <c r="W54" s="38"/>
      <c r="X54" s="12"/>
      <c r="Y54" s="17"/>
      <c r="Z54" s="67"/>
      <c r="AA54" s="66"/>
    </row>
    <row r="55" spans="1:27" s="78" customFormat="1" ht="87.5">
      <c r="A55" s="13" t="s">
        <v>2559</v>
      </c>
      <c r="B55" s="13" t="s">
        <v>11</v>
      </c>
      <c r="C55" s="12">
        <v>54</v>
      </c>
      <c r="D55" s="36" t="s">
        <v>1266</v>
      </c>
      <c r="E55" s="39" t="s">
        <v>1664</v>
      </c>
      <c r="F55" s="12" t="s">
        <v>58</v>
      </c>
      <c r="G55" s="321" t="s">
        <v>349</v>
      </c>
      <c r="H55" s="12" t="s">
        <v>1132</v>
      </c>
      <c r="I55" s="40" t="s">
        <v>353</v>
      </c>
      <c r="J55" s="12">
        <v>2022</v>
      </c>
      <c r="K55" s="12">
        <v>2023</v>
      </c>
      <c r="L55" s="53" t="s">
        <v>354</v>
      </c>
      <c r="M55" s="53" t="s">
        <v>2503</v>
      </c>
      <c r="N55" s="13" t="s">
        <v>3078</v>
      </c>
      <c r="O55" s="16" t="s">
        <v>59</v>
      </c>
      <c r="P55" s="12" t="s">
        <v>57</v>
      </c>
      <c r="Q55" s="16" t="s">
        <v>925</v>
      </c>
      <c r="R55" s="15" t="s">
        <v>26</v>
      </c>
      <c r="S55" s="28" t="s">
        <v>2631</v>
      </c>
      <c r="T55" s="12">
        <v>0</v>
      </c>
      <c r="U55" s="12"/>
      <c r="V55" s="17"/>
      <c r="W55" s="38"/>
      <c r="X55" s="12"/>
      <c r="Y55" s="17"/>
      <c r="Z55" s="83"/>
      <c r="AA55" s="66"/>
    </row>
    <row r="56" spans="1:27" s="78" customFormat="1" ht="87.5">
      <c r="A56" s="13" t="s">
        <v>2559</v>
      </c>
      <c r="B56" s="28" t="s">
        <v>56</v>
      </c>
      <c r="C56" s="12">
        <v>55</v>
      </c>
      <c r="D56" s="47" t="s">
        <v>2231</v>
      </c>
      <c r="E56" s="28" t="s">
        <v>2232</v>
      </c>
      <c r="F56" s="28" t="s">
        <v>58</v>
      </c>
      <c r="G56" s="71" t="s">
        <v>781</v>
      </c>
      <c r="H56" s="28" t="s">
        <v>164</v>
      </c>
      <c r="I56" s="121" t="s">
        <v>2233</v>
      </c>
      <c r="J56" s="28">
        <v>2024</v>
      </c>
      <c r="K56" s="28">
        <v>2026</v>
      </c>
      <c r="L56" s="73" t="s">
        <v>2234</v>
      </c>
      <c r="M56" s="73" t="s">
        <v>358</v>
      </c>
      <c r="N56" s="73" t="s">
        <v>1134</v>
      </c>
      <c r="O56" s="16" t="s">
        <v>59</v>
      </c>
      <c r="P56" s="28" t="s">
        <v>57</v>
      </c>
      <c r="Q56" s="48" t="s">
        <v>901</v>
      </c>
      <c r="R56" s="48" t="s">
        <v>32</v>
      </c>
      <c r="S56" s="28" t="s">
        <v>2631</v>
      </c>
      <c r="T56" s="12">
        <v>0</v>
      </c>
      <c r="U56" s="12"/>
      <c r="V56" s="17"/>
      <c r="W56" s="38"/>
      <c r="X56" s="12"/>
      <c r="Y56" s="17"/>
      <c r="Z56" s="57"/>
      <c r="AA56" s="66"/>
    </row>
    <row r="57" spans="1:27" s="78" customFormat="1" ht="70">
      <c r="A57" s="13" t="s">
        <v>2559</v>
      </c>
      <c r="B57" s="13" t="s">
        <v>11</v>
      </c>
      <c r="C57" s="12">
        <v>56</v>
      </c>
      <c r="D57" s="38" t="s">
        <v>2146</v>
      </c>
      <c r="E57" s="15" t="s">
        <v>2147</v>
      </c>
      <c r="F57" s="12" t="s">
        <v>2</v>
      </c>
      <c r="G57" s="96" t="s">
        <v>781</v>
      </c>
      <c r="H57" s="12" t="s">
        <v>164</v>
      </c>
      <c r="I57" s="156" t="s">
        <v>2148</v>
      </c>
      <c r="J57" s="12">
        <v>2024</v>
      </c>
      <c r="K57" s="12">
        <v>2026</v>
      </c>
      <c r="L57" s="91" t="s">
        <v>2136</v>
      </c>
      <c r="M57" s="91" t="s">
        <v>2149</v>
      </c>
      <c r="N57" s="92" t="s">
        <v>1134</v>
      </c>
      <c r="O57" s="16" t="s">
        <v>93</v>
      </c>
      <c r="P57" s="12"/>
      <c r="Q57" s="15" t="s">
        <v>859</v>
      </c>
      <c r="R57" s="15" t="s">
        <v>860</v>
      </c>
      <c r="S57" s="28" t="s">
        <v>2631</v>
      </c>
      <c r="T57" s="12">
        <v>0</v>
      </c>
      <c r="U57" s="12"/>
      <c r="V57" s="17"/>
      <c r="W57" s="38"/>
      <c r="X57" s="12"/>
      <c r="Y57" s="17"/>
      <c r="Z57" s="67"/>
      <c r="AA57" s="66"/>
    </row>
    <row r="58" spans="1:27" s="78" customFormat="1" ht="52.5">
      <c r="A58" s="13" t="s">
        <v>2559</v>
      </c>
      <c r="B58" s="13" t="s">
        <v>11</v>
      </c>
      <c r="C58" s="12">
        <v>57</v>
      </c>
      <c r="D58" s="38" t="s">
        <v>1154</v>
      </c>
      <c r="E58" s="15" t="s">
        <v>2132</v>
      </c>
      <c r="F58" s="12" t="s">
        <v>2</v>
      </c>
      <c r="G58" s="96" t="s">
        <v>781</v>
      </c>
      <c r="H58" s="12" t="s">
        <v>1132</v>
      </c>
      <c r="I58" s="61" t="s">
        <v>2133</v>
      </c>
      <c r="J58" s="12">
        <v>2015</v>
      </c>
      <c r="K58" s="12">
        <v>2020</v>
      </c>
      <c r="L58" s="53" t="s">
        <v>1155</v>
      </c>
      <c r="M58" s="53" t="s">
        <v>2097</v>
      </c>
      <c r="N58" s="51" t="s">
        <v>3128</v>
      </c>
      <c r="O58" s="16" t="s">
        <v>604</v>
      </c>
      <c r="P58" s="12" t="s">
        <v>1156</v>
      </c>
      <c r="Q58" s="15" t="s">
        <v>859</v>
      </c>
      <c r="R58" s="15" t="s">
        <v>860</v>
      </c>
      <c r="S58" s="28" t="s">
        <v>2631</v>
      </c>
      <c r="T58" s="12">
        <v>0</v>
      </c>
      <c r="U58" s="12"/>
      <c r="V58" s="17"/>
      <c r="W58" s="38"/>
      <c r="X58" s="12"/>
      <c r="Y58" s="17"/>
      <c r="Z58" s="67"/>
      <c r="AA58" s="66"/>
    </row>
    <row r="59" spans="1:27" s="78" customFormat="1" ht="52.5">
      <c r="A59" s="13" t="s">
        <v>2559</v>
      </c>
      <c r="B59" s="13" t="s">
        <v>11</v>
      </c>
      <c r="C59" s="12">
        <v>58</v>
      </c>
      <c r="D59" s="38" t="s">
        <v>1158</v>
      </c>
      <c r="E59" s="15" t="s">
        <v>1157</v>
      </c>
      <c r="F59" s="12" t="s">
        <v>2</v>
      </c>
      <c r="G59" s="96" t="s">
        <v>202</v>
      </c>
      <c r="H59" s="12" t="s">
        <v>1132</v>
      </c>
      <c r="I59" s="61" t="s">
        <v>2135</v>
      </c>
      <c r="J59" s="12">
        <v>2018</v>
      </c>
      <c r="K59" s="12">
        <v>2022</v>
      </c>
      <c r="L59" s="53" t="s">
        <v>1155</v>
      </c>
      <c r="M59" s="16" t="s">
        <v>2097</v>
      </c>
      <c r="N59" s="13" t="s">
        <v>1134</v>
      </c>
      <c r="O59" s="16" t="s">
        <v>604</v>
      </c>
      <c r="P59" s="12" t="s">
        <v>1156</v>
      </c>
      <c r="Q59" s="15" t="s">
        <v>859</v>
      </c>
      <c r="R59" s="15" t="s">
        <v>860</v>
      </c>
      <c r="S59" s="28" t="s">
        <v>2631</v>
      </c>
      <c r="T59" s="12">
        <v>0</v>
      </c>
      <c r="U59" s="12"/>
      <c r="V59" s="17"/>
      <c r="W59" s="38"/>
      <c r="X59" s="12"/>
      <c r="Y59" s="17"/>
      <c r="Z59" s="67"/>
      <c r="AA59" s="66"/>
    </row>
    <row r="60" spans="1:27" s="78" customFormat="1" ht="52.5">
      <c r="A60" s="13" t="s">
        <v>2559</v>
      </c>
      <c r="B60" s="68" t="s">
        <v>11</v>
      </c>
      <c r="C60" s="12">
        <v>59</v>
      </c>
      <c r="D60" s="300" t="s">
        <v>1160</v>
      </c>
      <c r="E60" s="52" t="s">
        <v>1159</v>
      </c>
      <c r="F60" s="319" t="s">
        <v>2</v>
      </c>
      <c r="G60" s="324" t="s">
        <v>202</v>
      </c>
      <c r="H60" s="319" t="s">
        <v>1132</v>
      </c>
      <c r="I60" s="333" t="s">
        <v>2137</v>
      </c>
      <c r="J60" s="319">
        <v>2020</v>
      </c>
      <c r="K60" s="319">
        <v>2023</v>
      </c>
      <c r="L60" s="341" t="s">
        <v>1155</v>
      </c>
      <c r="M60" s="343" t="s">
        <v>2097</v>
      </c>
      <c r="N60" s="319" t="s">
        <v>1134</v>
      </c>
      <c r="O60" s="52" t="s">
        <v>604</v>
      </c>
      <c r="P60" s="319" t="s">
        <v>1156</v>
      </c>
      <c r="Q60" s="52" t="s">
        <v>859</v>
      </c>
      <c r="R60" s="343" t="s">
        <v>860</v>
      </c>
      <c r="S60" s="28" t="s">
        <v>2631</v>
      </c>
      <c r="T60" s="12">
        <v>0</v>
      </c>
      <c r="U60" s="12"/>
      <c r="V60" s="17"/>
      <c r="W60" s="38"/>
      <c r="X60" s="12"/>
      <c r="Y60" s="17"/>
      <c r="Z60" s="83"/>
      <c r="AA60" s="66"/>
    </row>
    <row r="61" spans="1:27" s="78" customFormat="1" ht="157.5">
      <c r="A61" s="13" t="s">
        <v>2559</v>
      </c>
      <c r="B61" s="68" t="s">
        <v>11</v>
      </c>
      <c r="C61" s="12">
        <v>60</v>
      </c>
      <c r="D61" s="38" t="s">
        <v>844</v>
      </c>
      <c r="E61" s="15" t="s">
        <v>845</v>
      </c>
      <c r="F61" s="12" t="s">
        <v>58</v>
      </c>
      <c r="G61" s="92" t="s">
        <v>781</v>
      </c>
      <c r="H61" s="12" t="s">
        <v>164</v>
      </c>
      <c r="I61" s="278" t="s">
        <v>102</v>
      </c>
      <c r="J61" s="12">
        <v>2022</v>
      </c>
      <c r="K61" s="164">
        <v>2026</v>
      </c>
      <c r="L61" s="91" t="s">
        <v>99</v>
      </c>
      <c r="M61" s="91" t="s">
        <v>846</v>
      </c>
      <c r="N61" s="12" t="s">
        <v>1134</v>
      </c>
      <c r="O61" s="15" t="s">
        <v>604</v>
      </c>
      <c r="P61" s="12" t="s">
        <v>847</v>
      </c>
      <c r="Q61" s="15" t="s">
        <v>859</v>
      </c>
      <c r="R61" s="15" t="s">
        <v>860</v>
      </c>
      <c r="S61" s="28" t="s">
        <v>2631</v>
      </c>
      <c r="T61" s="12">
        <v>0</v>
      </c>
      <c r="U61" s="12"/>
      <c r="V61" s="17"/>
      <c r="W61" s="38"/>
      <c r="X61" s="12"/>
      <c r="Y61" s="17"/>
      <c r="Z61" s="67"/>
      <c r="AA61" s="66"/>
    </row>
    <row r="62" spans="1:27" s="78" customFormat="1" ht="140">
      <c r="A62" s="13" t="s">
        <v>2559</v>
      </c>
      <c r="B62" s="68" t="s">
        <v>11</v>
      </c>
      <c r="C62" s="12">
        <v>61</v>
      </c>
      <c r="D62" s="38" t="s">
        <v>852</v>
      </c>
      <c r="E62" s="162" t="s">
        <v>2689</v>
      </c>
      <c r="F62" s="12" t="s">
        <v>58</v>
      </c>
      <c r="G62" s="329" t="s">
        <v>2690</v>
      </c>
      <c r="H62" s="164" t="s">
        <v>811</v>
      </c>
      <c r="I62" s="335" t="s">
        <v>166</v>
      </c>
      <c r="J62" s="12">
        <v>2023</v>
      </c>
      <c r="K62" s="29">
        <v>2025</v>
      </c>
      <c r="L62" s="91" t="s">
        <v>853</v>
      </c>
      <c r="M62" s="91" t="s">
        <v>167</v>
      </c>
      <c r="N62" s="163" t="s">
        <v>2658</v>
      </c>
      <c r="O62" s="16" t="s">
        <v>59</v>
      </c>
      <c r="P62" s="12" t="s">
        <v>57</v>
      </c>
      <c r="Q62" s="15" t="s">
        <v>863</v>
      </c>
      <c r="R62" s="15" t="s">
        <v>25</v>
      </c>
      <c r="S62" s="28" t="s">
        <v>2631</v>
      </c>
      <c r="T62" s="12">
        <v>0</v>
      </c>
      <c r="U62" s="12"/>
      <c r="V62" s="17"/>
      <c r="W62" s="38"/>
      <c r="X62" s="12"/>
      <c r="Y62" s="17"/>
      <c r="Z62" s="67"/>
      <c r="AA62" s="66"/>
    </row>
    <row r="63" spans="1:27" s="78" customFormat="1" ht="105">
      <c r="A63" s="13" t="s">
        <v>2559</v>
      </c>
      <c r="B63" s="68" t="s">
        <v>11</v>
      </c>
      <c r="C63" s="12">
        <v>62</v>
      </c>
      <c r="D63" s="38" t="s">
        <v>850</v>
      </c>
      <c r="E63" s="15" t="s">
        <v>2199</v>
      </c>
      <c r="F63" s="12" t="s">
        <v>162</v>
      </c>
      <c r="G63" s="92" t="s">
        <v>2621</v>
      </c>
      <c r="H63" s="12" t="s">
        <v>164</v>
      </c>
      <c r="I63" s="90" t="s">
        <v>163</v>
      </c>
      <c r="J63" s="12">
        <v>2023</v>
      </c>
      <c r="K63" s="164">
        <v>2026</v>
      </c>
      <c r="L63" s="91" t="s">
        <v>851</v>
      </c>
      <c r="M63" s="54" t="s">
        <v>165</v>
      </c>
      <c r="N63" s="12"/>
      <c r="O63" s="15" t="s">
        <v>604</v>
      </c>
      <c r="P63" s="12" t="s">
        <v>57</v>
      </c>
      <c r="Q63" s="15" t="s">
        <v>858</v>
      </c>
      <c r="R63" s="15" t="s">
        <v>39</v>
      </c>
      <c r="S63" s="28" t="s">
        <v>2631</v>
      </c>
      <c r="T63" s="12">
        <v>0</v>
      </c>
      <c r="U63" s="12"/>
      <c r="V63" s="17"/>
      <c r="W63" s="38"/>
      <c r="X63" s="12"/>
      <c r="Y63" s="17"/>
      <c r="Z63" s="67"/>
      <c r="AA63" s="66"/>
    </row>
    <row r="64" spans="1:27" s="78" customFormat="1" ht="70">
      <c r="A64" s="13" t="s">
        <v>2559</v>
      </c>
      <c r="B64" s="293" t="s">
        <v>56</v>
      </c>
      <c r="C64" s="12">
        <v>63</v>
      </c>
      <c r="D64" s="254" t="s">
        <v>2170</v>
      </c>
      <c r="E64" s="257" t="s">
        <v>2171</v>
      </c>
      <c r="F64" s="29" t="s">
        <v>298</v>
      </c>
      <c r="G64" s="29" t="s">
        <v>299</v>
      </c>
      <c r="H64" s="29" t="s">
        <v>1132</v>
      </c>
      <c r="I64" s="152" t="s">
        <v>324</v>
      </c>
      <c r="J64" s="29">
        <v>2022</v>
      </c>
      <c r="K64" s="29">
        <v>2023</v>
      </c>
      <c r="L64" s="48" t="s">
        <v>325</v>
      </c>
      <c r="M64" s="107"/>
      <c r="N64" s="29"/>
      <c r="O64" s="16" t="s">
        <v>59</v>
      </c>
      <c r="P64" s="29" t="s">
        <v>57</v>
      </c>
      <c r="Q64" s="48" t="s">
        <v>891</v>
      </c>
      <c r="R64" s="46" t="s">
        <v>892</v>
      </c>
      <c r="S64" s="28" t="s">
        <v>2629</v>
      </c>
      <c r="T64" s="12">
        <v>1</v>
      </c>
      <c r="U64" s="12" t="s">
        <v>2955</v>
      </c>
      <c r="V64" s="17" t="s">
        <v>2551</v>
      </c>
      <c r="W64" s="38" t="s">
        <v>326</v>
      </c>
      <c r="X64" s="12" t="s">
        <v>2970</v>
      </c>
      <c r="Y64" s="17" t="s">
        <v>2172</v>
      </c>
      <c r="Z64" s="101"/>
      <c r="AA64" s="66"/>
    </row>
    <row r="65" spans="1:27" s="78" customFormat="1" ht="87.5">
      <c r="A65" s="13" t="s">
        <v>2559</v>
      </c>
      <c r="B65" s="68" t="s">
        <v>11</v>
      </c>
      <c r="C65" s="12">
        <v>64</v>
      </c>
      <c r="D65" s="275" t="s">
        <v>1240</v>
      </c>
      <c r="E65" s="279" t="s">
        <v>1239</v>
      </c>
      <c r="F65" s="12" t="s">
        <v>298</v>
      </c>
      <c r="G65" s="12" t="s">
        <v>1055</v>
      </c>
      <c r="H65" s="12" t="s">
        <v>1132</v>
      </c>
      <c r="I65" s="332" t="s">
        <v>314</v>
      </c>
      <c r="J65" s="12">
        <v>2020</v>
      </c>
      <c r="K65" s="12">
        <v>2021</v>
      </c>
      <c r="L65" s="39" t="s">
        <v>315</v>
      </c>
      <c r="M65" s="15"/>
      <c r="N65" s="12"/>
      <c r="O65" s="16" t="s">
        <v>59</v>
      </c>
      <c r="P65" s="12" t="s">
        <v>57</v>
      </c>
      <c r="Q65" s="16" t="s">
        <v>891</v>
      </c>
      <c r="R65" s="15" t="s">
        <v>892</v>
      </c>
      <c r="S65" s="28" t="s">
        <v>2629</v>
      </c>
      <c r="T65" s="12">
        <v>1</v>
      </c>
      <c r="U65" s="12" t="s">
        <v>2955</v>
      </c>
      <c r="V65" s="17" t="s">
        <v>317</v>
      </c>
      <c r="W65" s="38" t="s">
        <v>316</v>
      </c>
      <c r="X65" s="12" t="s">
        <v>2970</v>
      </c>
      <c r="Y65" s="17" t="s">
        <v>1243</v>
      </c>
      <c r="Z65" s="83"/>
      <c r="AA65" s="66"/>
    </row>
    <row r="66" spans="1:27" s="78" customFormat="1" ht="70">
      <c r="A66" s="13" t="s">
        <v>2559</v>
      </c>
      <c r="B66" s="13" t="s">
        <v>11</v>
      </c>
      <c r="C66" s="12">
        <v>65</v>
      </c>
      <c r="D66" s="275" t="s">
        <v>1241</v>
      </c>
      <c r="E66" s="279" t="s">
        <v>1242</v>
      </c>
      <c r="F66" s="12" t="s">
        <v>298</v>
      </c>
      <c r="G66" s="12" t="s">
        <v>1055</v>
      </c>
      <c r="H66" s="12" t="s">
        <v>1132</v>
      </c>
      <c r="I66" s="332" t="s">
        <v>318</v>
      </c>
      <c r="J66" s="12">
        <v>2022</v>
      </c>
      <c r="K66" s="12">
        <v>2023</v>
      </c>
      <c r="L66" s="39" t="s">
        <v>315</v>
      </c>
      <c r="M66" s="15"/>
      <c r="N66" s="12"/>
      <c r="O66" s="16" t="s">
        <v>604</v>
      </c>
      <c r="P66" s="12" t="s">
        <v>57</v>
      </c>
      <c r="Q66" s="16" t="s">
        <v>891</v>
      </c>
      <c r="R66" s="15" t="s">
        <v>892</v>
      </c>
      <c r="S66" s="28" t="s">
        <v>2629</v>
      </c>
      <c r="T66" s="12">
        <v>1</v>
      </c>
      <c r="U66" s="12" t="s">
        <v>2955</v>
      </c>
      <c r="V66" s="17" t="s">
        <v>320</v>
      </c>
      <c r="W66" s="38" t="s">
        <v>319</v>
      </c>
      <c r="X66" s="12" t="s">
        <v>2970</v>
      </c>
      <c r="Y66" s="17" t="s">
        <v>1243</v>
      </c>
      <c r="Z66" s="83"/>
      <c r="AA66" s="167"/>
    </row>
    <row r="67" spans="1:27" s="78" customFormat="1" ht="70">
      <c r="A67" s="13" t="s">
        <v>2559</v>
      </c>
      <c r="B67" s="13" t="s">
        <v>11</v>
      </c>
      <c r="C67" s="12">
        <v>66</v>
      </c>
      <c r="D67" s="297" t="s">
        <v>1248</v>
      </c>
      <c r="E67" s="310" t="s">
        <v>1247</v>
      </c>
      <c r="F67" s="12" t="s">
        <v>298</v>
      </c>
      <c r="G67" s="12" t="s">
        <v>1055</v>
      </c>
      <c r="H67" s="12" t="s">
        <v>1132</v>
      </c>
      <c r="I67" s="332" t="s">
        <v>321</v>
      </c>
      <c r="J67" s="12">
        <v>2022</v>
      </c>
      <c r="K67" s="12">
        <v>2023</v>
      </c>
      <c r="L67" s="39" t="s">
        <v>315</v>
      </c>
      <c r="M67" s="15"/>
      <c r="N67" s="12"/>
      <c r="O67" s="16" t="s">
        <v>604</v>
      </c>
      <c r="P67" s="12" t="s">
        <v>57</v>
      </c>
      <c r="Q67" s="16" t="s">
        <v>891</v>
      </c>
      <c r="R67" s="15" t="s">
        <v>892</v>
      </c>
      <c r="S67" s="28" t="s">
        <v>2629</v>
      </c>
      <c r="T67" s="12">
        <v>1</v>
      </c>
      <c r="U67" s="12" t="s">
        <v>2955</v>
      </c>
      <c r="V67" s="17" t="s">
        <v>323</v>
      </c>
      <c r="W67" s="38" t="s">
        <v>322</v>
      </c>
      <c r="X67" s="12" t="s">
        <v>2970</v>
      </c>
      <c r="Y67" s="17" t="s">
        <v>1243</v>
      </c>
      <c r="Z67" s="83"/>
      <c r="AA67" s="66"/>
    </row>
    <row r="68" spans="1:27" s="78" customFormat="1" ht="52.5">
      <c r="A68" s="13" t="s">
        <v>2559</v>
      </c>
      <c r="B68" s="13" t="s">
        <v>56</v>
      </c>
      <c r="C68" s="12">
        <v>67</v>
      </c>
      <c r="D68" s="34" t="s">
        <v>1453</v>
      </c>
      <c r="E68" s="85" t="s">
        <v>1454</v>
      </c>
      <c r="F68" s="12" t="s">
        <v>224</v>
      </c>
      <c r="G68" s="13" t="s">
        <v>3150</v>
      </c>
      <c r="H68" s="12" t="s">
        <v>3151</v>
      </c>
      <c r="I68" s="42" t="s">
        <v>225</v>
      </c>
      <c r="J68" s="48">
        <v>2000</v>
      </c>
      <c r="K68" s="16">
        <v>2002</v>
      </c>
      <c r="L68" s="16" t="s">
        <v>226</v>
      </c>
      <c r="M68" s="15"/>
      <c r="N68" s="12"/>
      <c r="O68" s="16" t="s">
        <v>604</v>
      </c>
      <c r="P68" s="16" t="s">
        <v>57</v>
      </c>
      <c r="Q68" s="15" t="s">
        <v>891</v>
      </c>
      <c r="R68" s="15" t="s">
        <v>93</v>
      </c>
      <c r="S68" s="28" t="s">
        <v>2631</v>
      </c>
      <c r="T68" s="12">
        <v>0</v>
      </c>
      <c r="U68" s="12"/>
      <c r="V68" s="17"/>
      <c r="W68" s="38"/>
      <c r="X68" s="12"/>
      <c r="Y68" s="17"/>
      <c r="Z68" s="67"/>
      <c r="AA68" s="66"/>
    </row>
    <row r="69" spans="1:27" s="78" customFormat="1" ht="52.5">
      <c r="A69" s="13" t="s">
        <v>2559</v>
      </c>
      <c r="B69" s="13" t="s">
        <v>56</v>
      </c>
      <c r="C69" s="12">
        <v>68</v>
      </c>
      <c r="D69" s="34" t="s">
        <v>1456</v>
      </c>
      <c r="E69" s="85" t="s">
        <v>1457</v>
      </c>
      <c r="F69" s="12" t="s">
        <v>224</v>
      </c>
      <c r="G69" s="13" t="s">
        <v>3150</v>
      </c>
      <c r="H69" s="12" t="s">
        <v>1132</v>
      </c>
      <c r="I69" s="42" t="s">
        <v>227</v>
      </c>
      <c r="J69" s="48">
        <v>2003</v>
      </c>
      <c r="K69" s="16">
        <v>2005</v>
      </c>
      <c r="L69" s="16" t="s">
        <v>226</v>
      </c>
      <c r="M69" s="15"/>
      <c r="N69" s="12"/>
      <c r="O69" s="16" t="s">
        <v>59</v>
      </c>
      <c r="P69" s="16" t="s">
        <v>57</v>
      </c>
      <c r="Q69" s="15" t="s">
        <v>891</v>
      </c>
      <c r="R69" s="15" t="s">
        <v>93</v>
      </c>
      <c r="S69" s="28" t="s">
        <v>2631</v>
      </c>
      <c r="T69" s="12">
        <v>0</v>
      </c>
      <c r="U69" s="12"/>
      <c r="V69" s="17"/>
      <c r="W69" s="38"/>
      <c r="X69" s="12"/>
      <c r="Y69" s="17"/>
      <c r="Z69" s="67"/>
      <c r="AA69" s="66"/>
    </row>
    <row r="70" spans="1:27" s="78" customFormat="1" ht="52.5">
      <c r="A70" s="13" t="s">
        <v>2559</v>
      </c>
      <c r="B70" s="13" t="s">
        <v>56</v>
      </c>
      <c r="C70" s="12">
        <v>69</v>
      </c>
      <c r="D70" s="34" t="s">
        <v>1455</v>
      </c>
      <c r="E70" s="85" t="s">
        <v>1458</v>
      </c>
      <c r="F70" s="12" t="s">
        <v>224</v>
      </c>
      <c r="G70" s="13" t="s">
        <v>3150</v>
      </c>
      <c r="H70" s="12" t="s">
        <v>1132</v>
      </c>
      <c r="I70" s="42" t="s">
        <v>228</v>
      </c>
      <c r="J70" s="48">
        <v>2006</v>
      </c>
      <c r="K70" s="16">
        <v>2008</v>
      </c>
      <c r="L70" s="16" t="s">
        <v>226</v>
      </c>
      <c r="M70" s="15"/>
      <c r="N70" s="12"/>
      <c r="O70" s="16" t="s">
        <v>59</v>
      </c>
      <c r="P70" s="16" t="s">
        <v>57</v>
      </c>
      <c r="Q70" s="15" t="s">
        <v>891</v>
      </c>
      <c r="R70" s="15" t="s">
        <v>93</v>
      </c>
      <c r="S70" s="28" t="s">
        <v>2631</v>
      </c>
      <c r="T70" s="12">
        <v>0</v>
      </c>
      <c r="U70" s="12"/>
      <c r="V70" s="17"/>
      <c r="W70" s="38"/>
      <c r="X70" s="12"/>
      <c r="Y70" s="17"/>
      <c r="Z70" s="67"/>
      <c r="AA70" s="66"/>
    </row>
    <row r="71" spans="1:27" s="78" customFormat="1" ht="70">
      <c r="A71" s="13" t="s">
        <v>2559</v>
      </c>
      <c r="B71" s="13" t="s">
        <v>56</v>
      </c>
      <c r="C71" s="12">
        <v>70</v>
      </c>
      <c r="D71" s="34" t="s">
        <v>1459</v>
      </c>
      <c r="E71" s="85" t="s">
        <v>1680</v>
      </c>
      <c r="F71" s="12" t="s">
        <v>58</v>
      </c>
      <c r="G71" s="13" t="s">
        <v>275</v>
      </c>
      <c r="H71" s="12" t="s">
        <v>1132</v>
      </c>
      <c r="I71" s="42" t="s">
        <v>229</v>
      </c>
      <c r="J71" s="48">
        <v>2009</v>
      </c>
      <c r="K71" s="16">
        <v>2011</v>
      </c>
      <c r="L71" s="16" t="s">
        <v>226</v>
      </c>
      <c r="M71" s="15"/>
      <c r="N71" s="12"/>
      <c r="O71" s="16" t="s">
        <v>59</v>
      </c>
      <c r="P71" s="16" t="s">
        <v>57</v>
      </c>
      <c r="Q71" s="15" t="s">
        <v>891</v>
      </c>
      <c r="R71" s="15" t="s">
        <v>93</v>
      </c>
      <c r="S71" s="28" t="s">
        <v>2631</v>
      </c>
      <c r="T71" s="12">
        <v>0</v>
      </c>
      <c r="U71" s="12"/>
      <c r="V71" s="17"/>
      <c r="W71" s="38"/>
      <c r="X71" s="12"/>
      <c r="Y71" s="17"/>
      <c r="Z71" s="67"/>
      <c r="AA71" s="66"/>
    </row>
    <row r="72" spans="1:27" s="78" customFormat="1" ht="70">
      <c r="A72" s="13" t="s">
        <v>2559</v>
      </c>
      <c r="B72" s="13" t="s">
        <v>56</v>
      </c>
      <c r="C72" s="12">
        <v>71</v>
      </c>
      <c r="D72" s="34" t="s">
        <v>1460</v>
      </c>
      <c r="E72" s="85" t="s">
        <v>1698</v>
      </c>
      <c r="F72" s="12" t="s">
        <v>770</v>
      </c>
      <c r="G72" s="13" t="s">
        <v>787</v>
      </c>
      <c r="H72" s="12" t="s">
        <v>1132</v>
      </c>
      <c r="I72" s="42" t="s">
        <v>230</v>
      </c>
      <c r="J72" s="48">
        <v>2010</v>
      </c>
      <c r="K72" s="16">
        <v>2012</v>
      </c>
      <c r="L72" s="16" t="s">
        <v>226</v>
      </c>
      <c r="M72" s="15"/>
      <c r="N72" s="12"/>
      <c r="O72" s="16" t="s">
        <v>59</v>
      </c>
      <c r="P72" s="16" t="s">
        <v>57</v>
      </c>
      <c r="Q72" s="15" t="s">
        <v>891</v>
      </c>
      <c r="R72" s="15" t="s">
        <v>93</v>
      </c>
      <c r="S72" s="28" t="s">
        <v>2631</v>
      </c>
      <c r="T72" s="12">
        <v>0</v>
      </c>
      <c r="U72" s="12"/>
      <c r="V72" s="17"/>
      <c r="W72" s="38"/>
      <c r="X72" s="12"/>
      <c r="Y72" s="17"/>
      <c r="Z72" s="67"/>
      <c r="AA72" s="56"/>
    </row>
    <row r="73" spans="1:27" s="78" customFormat="1" ht="87.5">
      <c r="A73" s="13" t="s">
        <v>2559</v>
      </c>
      <c r="B73" s="28" t="s">
        <v>11</v>
      </c>
      <c r="C73" s="12">
        <v>72</v>
      </c>
      <c r="D73" s="304" t="s">
        <v>1241</v>
      </c>
      <c r="E73" s="317" t="s">
        <v>1242</v>
      </c>
      <c r="F73" s="28" t="s">
        <v>298</v>
      </c>
      <c r="G73" s="28" t="s">
        <v>1055</v>
      </c>
      <c r="H73" s="28" t="s">
        <v>1132</v>
      </c>
      <c r="I73" s="152" t="s">
        <v>2183</v>
      </c>
      <c r="J73" s="28">
        <v>2022</v>
      </c>
      <c r="K73" s="28">
        <v>2024</v>
      </c>
      <c r="L73" s="48" t="s">
        <v>2184</v>
      </c>
      <c r="M73" s="48"/>
      <c r="N73" s="28"/>
      <c r="O73" s="48" t="s">
        <v>604</v>
      </c>
      <c r="P73" s="28" t="s">
        <v>57</v>
      </c>
      <c r="Q73" s="48" t="s">
        <v>891</v>
      </c>
      <c r="R73" s="48" t="s">
        <v>892</v>
      </c>
      <c r="S73" s="28" t="s">
        <v>2629</v>
      </c>
      <c r="T73" s="12">
        <v>1</v>
      </c>
      <c r="U73" s="12" t="s">
        <v>1781</v>
      </c>
      <c r="V73" s="17" t="s">
        <v>2185</v>
      </c>
      <c r="W73" s="38" t="s">
        <v>2186</v>
      </c>
      <c r="X73" s="12" t="s">
        <v>2970</v>
      </c>
      <c r="Y73" s="17" t="s">
        <v>2184</v>
      </c>
      <c r="Z73" s="57"/>
      <c r="AA73" s="56"/>
    </row>
    <row r="74" spans="1:27" s="78" customFormat="1" ht="105">
      <c r="A74" s="13" t="s">
        <v>2559</v>
      </c>
      <c r="B74" s="13" t="s">
        <v>11</v>
      </c>
      <c r="C74" s="12">
        <v>73</v>
      </c>
      <c r="D74" s="34" t="s">
        <v>1252</v>
      </c>
      <c r="E74" s="18" t="s">
        <v>1656</v>
      </c>
      <c r="F74" s="12" t="s">
        <v>58</v>
      </c>
      <c r="G74" s="45" t="s">
        <v>259</v>
      </c>
      <c r="H74" s="12" t="s">
        <v>1132</v>
      </c>
      <c r="I74" s="283" t="s">
        <v>336</v>
      </c>
      <c r="J74" s="12">
        <v>2018</v>
      </c>
      <c r="K74" s="12">
        <v>2020</v>
      </c>
      <c r="L74" s="16" t="s">
        <v>337</v>
      </c>
      <c r="M74" s="16" t="s">
        <v>2500</v>
      </c>
      <c r="N74" s="16" t="s">
        <v>339</v>
      </c>
      <c r="O74" s="16" t="s">
        <v>59</v>
      </c>
      <c r="P74" s="12" t="s">
        <v>57</v>
      </c>
      <c r="Q74" s="16" t="s">
        <v>901</v>
      </c>
      <c r="R74" s="15" t="s">
        <v>29</v>
      </c>
      <c r="S74" s="28" t="s">
        <v>2631</v>
      </c>
      <c r="T74" s="12">
        <v>0</v>
      </c>
      <c r="U74" s="12"/>
      <c r="V74" s="17"/>
      <c r="W74" s="38"/>
      <c r="X74" s="12"/>
      <c r="Y74" s="17"/>
      <c r="Z74" s="83"/>
      <c r="AA74" s="66"/>
    </row>
    <row r="75" spans="1:27" s="78" customFormat="1" ht="87.5">
      <c r="A75" s="13" t="s">
        <v>2559</v>
      </c>
      <c r="B75" s="13" t="s">
        <v>11</v>
      </c>
      <c r="C75" s="12">
        <v>74</v>
      </c>
      <c r="D75" s="277" t="s">
        <v>1264</v>
      </c>
      <c r="E75" s="281" t="s">
        <v>1658</v>
      </c>
      <c r="F75" s="12" t="s">
        <v>58</v>
      </c>
      <c r="G75" s="327" t="s">
        <v>259</v>
      </c>
      <c r="H75" s="12" t="s">
        <v>1132</v>
      </c>
      <c r="I75" s="284" t="s">
        <v>342</v>
      </c>
      <c r="J75" s="12">
        <v>2019</v>
      </c>
      <c r="K75" s="12">
        <v>2022</v>
      </c>
      <c r="L75" s="52" t="s">
        <v>1256</v>
      </c>
      <c r="M75" s="16" t="s">
        <v>2500</v>
      </c>
      <c r="N75" s="52" t="s">
        <v>339</v>
      </c>
      <c r="O75" s="16" t="s">
        <v>59</v>
      </c>
      <c r="P75" s="12" t="s">
        <v>57</v>
      </c>
      <c r="Q75" s="16" t="s">
        <v>901</v>
      </c>
      <c r="R75" s="15" t="s">
        <v>29</v>
      </c>
      <c r="S75" s="28" t="s">
        <v>2631</v>
      </c>
      <c r="T75" s="12">
        <v>0</v>
      </c>
      <c r="U75" s="12"/>
      <c r="V75" s="17"/>
      <c r="W75" s="38"/>
      <c r="X75" s="12"/>
      <c r="Y75" s="17"/>
      <c r="Z75" s="83"/>
      <c r="AA75" s="66"/>
    </row>
    <row r="76" spans="1:27" s="78" customFormat="1" ht="87.5">
      <c r="A76" s="13" t="s">
        <v>2559</v>
      </c>
      <c r="B76" s="28" t="s">
        <v>11</v>
      </c>
      <c r="C76" s="12">
        <v>75</v>
      </c>
      <c r="D76" s="108" t="s">
        <v>897</v>
      </c>
      <c r="E76" s="46" t="s">
        <v>1675</v>
      </c>
      <c r="F76" s="29" t="s">
        <v>58</v>
      </c>
      <c r="G76" s="29" t="s">
        <v>898</v>
      </c>
      <c r="H76" s="29" t="s">
        <v>1132</v>
      </c>
      <c r="I76" s="47" t="s">
        <v>382</v>
      </c>
      <c r="J76" s="29">
        <v>2020</v>
      </c>
      <c r="K76" s="29">
        <v>2023</v>
      </c>
      <c r="L76" s="28" t="s">
        <v>337</v>
      </c>
      <c r="M76" s="28" t="s">
        <v>338</v>
      </c>
      <c r="N76" s="48" t="s">
        <v>339</v>
      </c>
      <c r="O76" s="46" t="s">
        <v>604</v>
      </c>
      <c r="P76" s="29" t="s">
        <v>57</v>
      </c>
      <c r="Q76" s="46" t="s">
        <v>858</v>
      </c>
      <c r="R76" s="46" t="s">
        <v>36</v>
      </c>
      <c r="S76" s="28" t="s">
        <v>2631</v>
      </c>
      <c r="T76" s="12">
        <v>0</v>
      </c>
      <c r="U76" s="12"/>
      <c r="V76" s="17"/>
      <c r="W76" s="38"/>
      <c r="X76" s="12"/>
      <c r="Y76" s="17"/>
      <c r="Z76" s="109"/>
      <c r="AA76" s="66"/>
    </row>
    <row r="77" spans="1:27" s="78" customFormat="1" ht="122.5">
      <c r="A77" s="13" t="s">
        <v>2559</v>
      </c>
      <c r="B77" s="13" t="s">
        <v>11</v>
      </c>
      <c r="C77" s="12">
        <v>76</v>
      </c>
      <c r="D77" s="302" t="s">
        <v>1253</v>
      </c>
      <c r="E77" s="256" t="s">
        <v>1657</v>
      </c>
      <c r="F77" s="12" t="s">
        <v>58</v>
      </c>
      <c r="G77" s="326" t="s">
        <v>340</v>
      </c>
      <c r="H77" s="12" t="s">
        <v>1132</v>
      </c>
      <c r="I77" s="334" t="s">
        <v>341</v>
      </c>
      <c r="J77" s="12">
        <v>2021</v>
      </c>
      <c r="K77" s="12">
        <v>2023</v>
      </c>
      <c r="L77" s="98" t="s">
        <v>337</v>
      </c>
      <c r="M77" s="98" t="s">
        <v>2500</v>
      </c>
      <c r="N77" s="16" t="s">
        <v>339</v>
      </c>
      <c r="O77" s="16" t="s">
        <v>59</v>
      </c>
      <c r="P77" s="12" t="s">
        <v>57</v>
      </c>
      <c r="Q77" s="16" t="s">
        <v>901</v>
      </c>
      <c r="R77" s="15" t="s">
        <v>29</v>
      </c>
      <c r="S77" s="28" t="s">
        <v>2631</v>
      </c>
      <c r="T77" s="12">
        <v>0</v>
      </c>
      <c r="U77" s="12"/>
      <c r="V77" s="17"/>
      <c r="W77" s="38"/>
      <c r="X77" s="12"/>
      <c r="Y77" s="17"/>
      <c r="Z77" s="83"/>
      <c r="AA77" s="66"/>
    </row>
    <row r="78" spans="1:27" s="78" customFormat="1" ht="87.5">
      <c r="A78" s="157" t="s">
        <v>2944</v>
      </c>
      <c r="B78" s="157" t="s">
        <v>2945</v>
      </c>
      <c r="C78" s="12">
        <v>77</v>
      </c>
      <c r="D78" s="86" t="s">
        <v>899</v>
      </c>
      <c r="E78" s="314" t="s">
        <v>2946</v>
      </c>
      <c r="F78" s="12" t="s">
        <v>58</v>
      </c>
      <c r="G78" s="12" t="s">
        <v>900</v>
      </c>
      <c r="H78" s="12" t="s">
        <v>164</v>
      </c>
      <c r="I78" s="42" t="s">
        <v>383</v>
      </c>
      <c r="J78" s="12">
        <v>2023</v>
      </c>
      <c r="K78" s="164">
        <v>2025</v>
      </c>
      <c r="L78" s="13" t="s">
        <v>337</v>
      </c>
      <c r="M78" s="13" t="s">
        <v>338</v>
      </c>
      <c r="N78" s="163" t="s">
        <v>3142</v>
      </c>
      <c r="O78" s="16" t="s">
        <v>59</v>
      </c>
      <c r="P78" s="12" t="s">
        <v>57</v>
      </c>
      <c r="Q78" s="15" t="s">
        <v>901</v>
      </c>
      <c r="R78" s="15" t="s">
        <v>29</v>
      </c>
      <c r="S78" s="28" t="s">
        <v>2631</v>
      </c>
      <c r="T78" s="12">
        <v>0</v>
      </c>
      <c r="U78" s="12"/>
      <c r="V78" s="17"/>
      <c r="W78" s="38"/>
      <c r="X78" s="12"/>
      <c r="Y78" s="17"/>
      <c r="Z78" s="67"/>
      <c r="AA78" s="66"/>
    </row>
    <row r="79" spans="1:27" s="78" customFormat="1" ht="122.5">
      <c r="A79" s="13" t="s">
        <v>2559</v>
      </c>
      <c r="B79" s="13" t="s">
        <v>11</v>
      </c>
      <c r="C79" s="12">
        <v>78</v>
      </c>
      <c r="D79" s="86" t="s">
        <v>902</v>
      </c>
      <c r="E79" s="85" t="s">
        <v>1676</v>
      </c>
      <c r="F79" s="12" t="s">
        <v>58</v>
      </c>
      <c r="G79" s="12" t="s">
        <v>903</v>
      </c>
      <c r="H79" s="12" t="s">
        <v>164</v>
      </c>
      <c r="I79" s="42" t="s">
        <v>384</v>
      </c>
      <c r="J79" s="12">
        <v>2023</v>
      </c>
      <c r="K79" s="12">
        <v>2025</v>
      </c>
      <c r="L79" s="13" t="s">
        <v>337</v>
      </c>
      <c r="M79" s="13" t="s">
        <v>338</v>
      </c>
      <c r="N79" s="163" t="s">
        <v>3135</v>
      </c>
      <c r="O79" s="16" t="s">
        <v>59</v>
      </c>
      <c r="P79" s="12" t="s">
        <v>57</v>
      </c>
      <c r="Q79" s="15" t="s">
        <v>901</v>
      </c>
      <c r="R79" s="15" t="s">
        <v>29</v>
      </c>
      <c r="S79" s="28" t="s">
        <v>2631</v>
      </c>
      <c r="T79" s="12">
        <v>0</v>
      </c>
      <c r="U79" s="12"/>
      <c r="V79" s="17"/>
      <c r="W79" s="38"/>
      <c r="X79" s="12"/>
      <c r="Y79" s="17"/>
      <c r="Z79" s="67"/>
      <c r="AA79" s="66"/>
    </row>
    <row r="80" spans="1:27" s="78" customFormat="1" ht="175">
      <c r="A80" s="13" t="s">
        <v>2559</v>
      </c>
      <c r="B80" s="13" t="s">
        <v>11</v>
      </c>
      <c r="C80" s="12">
        <v>79</v>
      </c>
      <c r="D80" s="34" t="s">
        <v>1333</v>
      </c>
      <c r="E80" s="85" t="s">
        <v>1334</v>
      </c>
      <c r="F80" s="12" t="s">
        <v>58</v>
      </c>
      <c r="G80" s="12" t="s">
        <v>153</v>
      </c>
      <c r="H80" s="12" t="s">
        <v>1132</v>
      </c>
      <c r="I80" s="42" t="s">
        <v>66</v>
      </c>
      <c r="J80" s="12">
        <v>2016</v>
      </c>
      <c r="K80" s="16">
        <v>2018</v>
      </c>
      <c r="L80" s="13" t="s">
        <v>64</v>
      </c>
      <c r="M80" s="15" t="s">
        <v>3059</v>
      </c>
      <c r="N80" s="15" t="s">
        <v>1135</v>
      </c>
      <c r="O80" s="16" t="s">
        <v>604</v>
      </c>
      <c r="P80" s="16" t="s">
        <v>10</v>
      </c>
      <c r="Q80" s="15" t="s">
        <v>859</v>
      </c>
      <c r="R80" s="15" t="s">
        <v>862</v>
      </c>
      <c r="S80" s="28" t="s">
        <v>2629</v>
      </c>
      <c r="T80" s="12">
        <v>1</v>
      </c>
      <c r="U80" s="12" t="s">
        <v>2964</v>
      </c>
      <c r="V80" s="17" t="s">
        <v>2996</v>
      </c>
      <c r="W80" s="38" t="s">
        <v>1594</v>
      </c>
      <c r="X80" s="12" t="s">
        <v>1593</v>
      </c>
      <c r="Y80" s="17" t="s">
        <v>65</v>
      </c>
      <c r="Z80" s="67"/>
      <c r="AA80" s="66"/>
    </row>
    <row r="81" spans="1:27" s="78" customFormat="1" ht="105">
      <c r="A81" s="13" t="s">
        <v>2559</v>
      </c>
      <c r="B81" s="13" t="s">
        <v>11</v>
      </c>
      <c r="C81" s="12">
        <v>80</v>
      </c>
      <c r="D81" s="34" t="s">
        <v>1131</v>
      </c>
      <c r="E81" s="85" t="s">
        <v>1141</v>
      </c>
      <c r="F81" s="12" t="s">
        <v>58</v>
      </c>
      <c r="G81" s="13" t="s">
        <v>794</v>
      </c>
      <c r="H81" s="12" t="s">
        <v>1132</v>
      </c>
      <c r="I81" s="307" t="s">
        <v>1140</v>
      </c>
      <c r="J81" s="12">
        <v>2018</v>
      </c>
      <c r="K81" s="12">
        <v>2020</v>
      </c>
      <c r="L81" s="16" t="s">
        <v>1142</v>
      </c>
      <c r="M81" s="15" t="s">
        <v>3059</v>
      </c>
      <c r="N81" s="15" t="s">
        <v>2095</v>
      </c>
      <c r="O81" s="16" t="s">
        <v>604</v>
      </c>
      <c r="P81" s="12" t="s">
        <v>57</v>
      </c>
      <c r="Q81" s="16" t="s">
        <v>859</v>
      </c>
      <c r="R81" s="15" t="s">
        <v>862</v>
      </c>
      <c r="S81" s="28" t="s">
        <v>2631</v>
      </c>
      <c r="T81" s="12">
        <v>0</v>
      </c>
      <c r="U81" s="12"/>
      <c r="V81" s="17"/>
      <c r="W81" s="38"/>
      <c r="X81" s="12"/>
      <c r="Y81" s="17"/>
      <c r="Z81" s="83"/>
      <c r="AA81" s="66"/>
    </row>
    <row r="82" spans="1:27" s="78" customFormat="1" ht="87.5">
      <c r="A82" s="13" t="s">
        <v>2559</v>
      </c>
      <c r="B82" s="13" t="s">
        <v>11</v>
      </c>
      <c r="C82" s="12">
        <v>81</v>
      </c>
      <c r="D82" s="34" t="s">
        <v>837</v>
      </c>
      <c r="E82" s="85" t="s">
        <v>810</v>
      </c>
      <c r="F82" s="12" t="s">
        <v>58</v>
      </c>
      <c r="G82" s="12" t="s">
        <v>153</v>
      </c>
      <c r="H82" s="12" t="s">
        <v>811</v>
      </c>
      <c r="I82" s="42" t="s">
        <v>72</v>
      </c>
      <c r="J82" s="12">
        <v>2022</v>
      </c>
      <c r="K82" s="12">
        <v>2024</v>
      </c>
      <c r="L82" s="16" t="s">
        <v>68</v>
      </c>
      <c r="M82" s="15" t="s">
        <v>3060</v>
      </c>
      <c r="N82" s="15" t="s">
        <v>1135</v>
      </c>
      <c r="O82" s="16" t="s">
        <v>59</v>
      </c>
      <c r="P82" s="12" t="s">
        <v>57</v>
      </c>
      <c r="Q82" s="16" t="s">
        <v>858</v>
      </c>
      <c r="R82" s="15" t="s">
        <v>37</v>
      </c>
      <c r="S82" s="28" t="s">
        <v>2629</v>
      </c>
      <c r="T82" s="12">
        <v>1</v>
      </c>
      <c r="U82" s="12" t="s">
        <v>1781</v>
      </c>
      <c r="V82" s="17" t="s">
        <v>70</v>
      </c>
      <c r="W82" s="38" t="s">
        <v>839</v>
      </c>
      <c r="X82" s="12" t="s">
        <v>2970</v>
      </c>
      <c r="Y82" s="17" t="s">
        <v>69</v>
      </c>
      <c r="Z82" s="83"/>
      <c r="AA82" s="66"/>
    </row>
    <row r="83" spans="1:27" s="78" customFormat="1" ht="105">
      <c r="A83" s="13" t="s">
        <v>2559</v>
      </c>
      <c r="B83" s="13" t="s">
        <v>11</v>
      </c>
      <c r="C83" s="12">
        <v>82</v>
      </c>
      <c r="D83" s="86" t="s">
        <v>838</v>
      </c>
      <c r="E83" s="85" t="s">
        <v>2102</v>
      </c>
      <c r="F83" s="12" t="s">
        <v>58</v>
      </c>
      <c r="G83" s="12" t="s">
        <v>153</v>
      </c>
      <c r="H83" s="12" t="s">
        <v>164</v>
      </c>
      <c r="I83" s="42" t="s">
        <v>73</v>
      </c>
      <c r="J83" s="12">
        <v>2023</v>
      </c>
      <c r="K83" s="12">
        <v>2025</v>
      </c>
      <c r="L83" s="16" t="s">
        <v>68</v>
      </c>
      <c r="M83" s="15" t="s">
        <v>3060</v>
      </c>
      <c r="N83" s="15" t="s">
        <v>1135</v>
      </c>
      <c r="O83" s="16" t="s">
        <v>59</v>
      </c>
      <c r="P83" s="12" t="s">
        <v>57</v>
      </c>
      <c r="Q83" s="16" t="s">
        <v>858</v>
      </c>
      <c r="R83" s="15" t="s">
        <v>37</v>
      </c>
      <c r="S83" s="28" t="s">
        <v>2629</v>
      </c>
      <c r="T83" s="12">
        <v>1</v>
      </c>
      <c r="U83" s="12" t="s">
        <v>1781</v>
      </c>
      <c r="V83" s="17" t="s">
        <v>70</v>
      </c>
      <c r="W83" s="38" t="s">
        <v>839</v>
      </c>
      <c r="X83" s="12" t="s">
        <v>2970</v>
      </c>
      <c r="Y83" s="17" t="s">
        <v>69</v>
      </c>
      <c r="Z83" s="67"/>
      <c r="AA83" s="167"/>
    </row>
    <row r="84" spans="1:27" s="78" customFormat="1" ht="140">
      <c r="A84" s="13" t="s">
        <v>2559</v>
      </c>
      <c r="B84" s="13" t="s">
        <v>11</v>
      </c>
      <c r="C84" s="12">
        <v>83</v>
      </c>
      <c r="D84" s="34" t="s">
        <v>1144</v>
      </c>
      <c r="E84" s="85" t="s">
        <v>1143</v>
      </c>
      <c r="F84" s="12" t="s">
        <v>58</v>
      </c>
      <c r="G84" s="13" t="s">
        <v>795</v>
      </c>
      <c r="H84" s="12" t="s">
        <v>1132</v>
      </c>
      <c r="I84" s="307" t="s">
        <v>1145</v>
      </c>
      <c r="J84" s="12">
        <v>2022</v>
      </c>
      <c r="K84" s="12">
        <v>2023</v>
      </c>
      <c r="L84" s="16" t="s">
        <v>1146</v>
      </c>
      <c r="M84" s="15" t="s">
        <v>3061</v>
      </c>
      <c r="N84" s="15" t="s">
        <v>1147</v>
      </c>
      <c r="O84" s="16" t="s">
        <v>59</v>
      </c>
      <c r="P84" s="12" t="s">
        <v>57</v>
      </c>
      <c r="Q84" s="16" t="s">
        <v>859</v>
      </c>
      <c r="R84" s="15" t="s">
        <v>862</v>
      </c>
      <c r="S84" s="28" t="s">
        <v>2631</v>
      </c>
      <c r="T84" s="12">
        <v>0</v>
      </c>
      <c r="U84" s="12"/>
      <c r="V84" s="17"/>
      <c r="W84" s="38"/>
      <c r="X84" s="12"/>
      <c r="Y84" s="17"/>
      <c r="Z84" s="83"/>
      <c r="AA84" s="66" t="s">
        <v>2794</v>
      </c>
    </row>
    <row r="85" spans="1:27" s="78" customFormat="1" ht="52.5">
      <c r="A85" s="13" t="s">
        <v>2559</v>
      </c>
      <c r="B85" s="13" t="s">
        <v>56</v>
      </c>
      <c r="C85" s="12">
        <v>84</v>
      </c>
      <c r="D85" s="34" t="s">
        <v>1461</v>
      </c>
      <c r="E85" s="85" t="s">
        <v>1462</v>
      </c>
      <c r="F85" s="12" t="s">
        <v>58</v>
      </c>
      <c r="G85" s="13" t="s">
        <v>275</v>
      </c>
      <c r="H85" s="12" t="s">
        <v>1132</v>
      </c>
      <c r="I85" s="42" t="s">
        <v>231</v>
      </c>
      <c r="J85" s="12">
        <v>2015</v>
      </c>
      <c r="K85" s="13">
        <v>2018</v>
      </c>
      <c r="L85" s="16" t="s">
        <v>232</v>
      </c>
      <c r="M85" s="15"/>
      <c r="N85" s="12"/>
      <c r="O85" s="16" t="s">
        <v>59</v>
      </c>
      <c r="P85" s="16" t="s">
        <v>57</v>
      </c>
      <c r="Q85" s="15" t="s">
        <v>891</v>
      </c>
      <c r="R85" s="15" t="s">
        <v>892</v>
      </c>
      <c r="S85" s="28" t="s">
        <v>2631</v>
      </c>
      <c r="T85" s="12">
        <v>0</v>
      </c>
      <c r="U85" s="12"/>
      <c r="V85" s="17"/>
      <c r="W85" s="38"/>
      <c r="X85" s="12"/>
      <c r="Y85" s="17"/>
      <c r="Z85" s="67"/>
      <c r="AA85" s="66"/>
    </row>
    <row r="86" spans="1:27" s="78" customFormat="1" ht="52.5">
      <c r="A86" s="13" t="s">
        <v>2559</v>
      </c>
      <c r="B86" s="13" t="s">
        <v>56</v>
      </c>
      <c r="C86" s="12">
        <v>85</v>
      </c>
      <c r="D86" s="33" t="s">
        <v>1463</v>
      </c>
      <c r="E86" s="15" t="s">
        <v>1464</v>
      </c>
      <c r="F86" s="12" t="s">
        <v>58</v>
      </c>
      <c r="G86" s="13" t="s">
        <v>275</v>
      </c>
      <c r="H86" s="12" t="s">
        <v>1132</v>
      </c>
      <c r="I86" s="42" t="s">
        <v>233</v>
      </c>
      <c r="J86" s="12">
        <v>2015</v>
      </c>
      <c r="K86" s="13">
        <v>2018</v>
      </c>
      <c r="L86" s="16" t="s">
        <v>232</v>
      </c>
      <c r="M86" s="15"/>
      <c r="N86" s="12"/>
      <c r="O86" s="16" t="s">
        <v>59</v>
      </c>
      <c r="P86" s="16" t="s">
        <v>57</v>
      </c>
      <c r="Q86" s="15" t="s">
        <v>891</v>
      </c>
      <c r="R86" s="15" t="s">
        <v>892</v>
      </c>
      <c r="S86" s="28" t="s">
        <v>2631</v>
      </c>
      <c r="T86" s="12">
        <v>0</v>
      </c>
      <c r="U86" s="12"/>
      <c r="V86" s="17"/>
      <c r="W86" s="38"/>
      <c r="X86" s="12"/>
      <c r="Y86" s="17"/>
      <c r="Z86" s="67"/>
      <c r="AA86" s="66"/>
    </row>
    <row r="87" spans="1:27" s="78" customFormat="1" ht="87.5">
      <c r="A87" s="13" t="s">
        <v>2559</v>
      </c>
      <c r="B87" s="28" t="s">
        <v>11</v>
      </c>
      <c r="C87" s="12">
        <v>86</v>
      </c>
      <c r="D87" s="47" t="s">
        <v>1231</v>
      </c>
      <c r="E87" s="48" t="s">
        <v>1227</v>
      </c>
      <c r="F87" s="29" t="s">
        <v>58</v>
      </c>
      <c r="G87" s="29" t="s">
        <v>796</v>
      </c>
      <c r="H87" s="29" t="s">
        <v>1132</v>
      </c>
      <c r="I87" s="150" t="s">
        <v>307</v>
      </c>
      <c r="J87" s="29">
        <v>2020</v>
      </c>
      <c r="K87" s="29">
        <v>2022</v>
      </c>
      <c r="L87" s="48" t="s">
        <v>232</v>
      </c>
      <c r="M87" s="48" t="s">
        <v>890</v>
      </c>
      <c r="N87" s="29"/>
      <c r="O87" s="16" t="s">
        <v>59</v>
      </c>
      <c r="P87" s="29" t="s">
        <v>57</v>
      </c>
      <c r="Q87" s="48" t="s">
        <v>891</v>
      </c>
      <c r="R87" s="46" t="s">
        <v>892</v>
      </c>
      <c r="S87" s="28" t="s">
        <v>2631</v>
      </c>
      <c r="T87" s="12">
        <v>0</v>
      </c>
      <c r="U87" s="12"/>
      <c r="V87" s="17"/>
      <c r="W87" s="38"/>
      <c r="X87" s="12"/>
      <c r="Y87" s="17"/>
      <c r="Z87" s="101"/>
      <c r="AA87" s="66"/>
    </row>
    <row r="88" spans="1:27" s="78" customFormat="1" ht="122.5">
      <c r="A88" s="13" t="s">
        <v>2559</v>
      </c>
      <c r="B88" s="13" t="s">
        <v>11</v>
      </c>
      <c r="C88" s="12">
        <v>87</v>
      </c>
      <c r="D88" s="38" t="s">
        <v>886</v>
      </c>
      <c r="E88" s="15" t="s">
        <v>887</v>
      </c>
      <c r="F88" s="12" t="s">
        <v>58</v>
      </c>
      <c r="G88" s="12" t="s">
        <v>796</v>
      </c>
      <c r="H88" s="164" t="s">
        <v>811</v>
      </c>
      <c r="I88" s="42" t="s">
        <v>372</v>
      </c>
      <c r="J88" s="12">
        <v>2022</v>
      </c>
      <c r="K88" s="164">
        <v>2025</v>
      </c>
      <c r="L88" s="15" t="s">
        <v>889</v>
      </c>
      <c r="M88" s="15" t="s">
        <v>890</v>
      </c>
      <c r="N88" s="15" t="s">
        <v>2105</v>
      </c>
      <c r="O88" s="16" t="s">
        <v>59</v>
      </c>
      <c r="P88" s="12" t="s">
        <v>57</v>
      </c>
      <c r="Q88" s="15" t="s">
        <v>891</v>
      </c>
      <c r="R88" s="15" t="s">
        <v>892</v>
      </c>
      <c r="S88" s="28" t="s">
        <v>2631</v>
      </c>
      <c r="T88" s="12">
        <v>0</v>
      </c>
      <c r="U88" s="12"/>
      <c r="V88" s="17"/>
      <c r="W88" s="38"/>
      <c r="X88" s="12"/>
      <c r="Y88" s="17"/>
      <c r="Z88" s="67"/>
      <c r="AA88" s="66"/>
    </row>
    <row r="89" spans="1:27" s="78" customFormat="1" ht="70">
      <c r="A89" s="13" t="s">
        <v>2559</v>
      </c>
      <c r="B89" s="13" t="s">
        <v>56</v>
      </c>
      <c r="C89" s="12">
        <v>88</v>
      </c>
      <c r="D89" s="34" t="s">
        <v>2078</v>
      </c>
      <c r="E89" s="18" t="s">
        <v>2079</v>
      </c>
      <c r="F89" s="13" t="s">
        <v>298</v>
      </c>
      <c r="G89" s="13" t="s">
        <v>363</v>
      </c>
      <c r="H89" s="164" t="s">
        <v>811</v>
      </c>
      <c r="I89" s="151" t="s">
        <v>2080</v>
      </c>
      <c r="J89" s="13">
        <v>2024</v>
      </c>
      <c r="K89" s="157">
        <v>2025</v>
      </c>
      <c r="L89" s="16" t="s">
        <v>232</v>
      </c>
      <c r="M89" s="16"/>
      <c r="N89" s="13"/>
      <c r="O89" s="16" t="s">
        <v>204</v>
      </c>
      <c r="P89" s="13" t="s">
        <v>57</v>
      </c>
      <c r="Q89" s="16" t="s">
        <v>891</v>
      </c>
      <c r="R89" s="16" t="s">
        <v>892</v>
      </c>
      <c r="S89" s="157" t="s">
        <v>2629</v>
      </c>
      <c r="T89" s="164">
        <v>1</v>
      </c>
      <c r="U89" s="162" t="s">
        <v>2736</v>
      </c>
      <c r="V89" s="163" t="s">
        <v>2962</v>
      </c>
      <c r="W89" s="172" t="s">
        <v>2644</v>
      </c>
      <c r="X89" s="162" t="s">
        <v>2961</v>
      </c>
      <c r="Y89" s="157" t="s">
        <v>889</v>
      </c>
      <c r="Z89" s="59"/>
      <c r="AA89" s="66" t="s">
        <v>2795</v>
      </c>
    </row>
    <row r="90" spans="1:27" s="78" customFormat="1" ht="52.5">
      <c r="A90" s="13" t="s">
        <v>2559</v>
      </c>
      <c r="B90" s="13" t="s">
        <v>56</v>
      </c>
      <c r="C90" s="12">
        <v>89</v>
      </c>
      <c r="D90" s="34" t="s">
        <v>2075</v>
      </c>
      <c r="E90" s="18" t="s">
        <v>2076</v>
      </c>
      <c r="F90" s="13" t="s">
        <v>298</v>
      </c>
      <c r="G90" s="13" t="s">
        <v>363</v>
      </c>
      <c r="H90" s="164" t="s">
        <v>811</v>
      </c>
      <c r="I90" s="151" t="s">
        <v>2077</v>
      </c>
      <c r="J90" s="13">
        <v>2024</v>
      </c>
      <c r="K90" s="157">
        <v>2025</v>
      </c>
      <c r="L90" s="16" t="s">
        <v>232</v>
      </c>
      <c r="M90" s="16"/>
      <c r="N90" s="13"/>
      <c r="O90" s="16" t="s">
        <v>204</v>
      </c>
      <c r="P90" s="13" t="s">
        <v>57</v>
      </c>
      <c r="Q90" s="16" t="s">
        <v>891</v>
      </c>
      <c r="R90" s="16" t="s">
        <v>892</v>
      </c>
      <c r="S90" s="28" t="s">
        <v>2631</v>
      </c>
      <c r="T90" s="12">
        <v>0</v>
      </c>
      <c r="U90" s="12"/>
      <c r="V90" s="17"/>
      <c r="W90" s="38"/>
      <c r="X90" s="12"/>
      <c r="Y90" s="17"/>
      <c r="Z90" s="59"/>
      <c r="AA90" s="56"/>
    </row>
    <row r="91" spans="1:27" s="78" customFormat="1" ht="70">
      <c r="A91" s="13" t="s">
        <v>2559</v>
      </c>
      <c r="B91" s="13" t="s">
        <v>11</v>
      </c>
      <c r="C91" s="12">
        <v>90</v>
      </c>
      <c r="D91" s="86" t="s">
        <v>840</v>
      </c>
      <c r="E91" s="85" t="s">
        <v>2103</v>
      </c>
      <c r="F91" s="12" t="s">
        <v>58</v>
      </c>
      <c r="G91" s="12" t="s">
        <v>795</v>
      </c>
      <c r="H91" s="12" t="s">
        <v>1132</v>
      </c>
      <c r="I91" s="88" t="s">
        <v>87</v>
      </c>
      <c r="J91" s="12">
        <v>2023</v>
      </c>
      <c r="K91" s="12">
        <v>2024</v>
      </c>
      <c r="L91" s="15" t="s">
        <v>86</v>
      </c>
      <c r="M91" s="15" t="s">
        <v>3062</v>
      </c>
      <c r="N91" s="12" t="s">
        <v>3129</v>
      </c>
      <c r="O91" s="16" t="s">
        <v>59</v>
      </c>
      <c r="P91" s="12" t="s">
        <v>57</v>
      </c>
      <c r="Q91" s="15" t="s">
        <v>859</v>
      </c>
      <c r="R91" s="15" t="s">
        <v>861</v>
      </c>
      <c r="S91" s="28" t="s">
        <v>2631</v>
      </c>
      <c r="T91" s="12">
        <v>0</v>
      </c>
      <c r="U91" s="12"/>
      <c r="V91" s="17"/>
      <c r="W91" s="38"/>
      <c r="X91" s="12"/>
      <c r="Y91" s="17"/>
      <c r="Z91" s="67"/>
      <c r="AA91" s="66" t="s">
        <v>2794</v>
      </c>
    </row>
    <row r="92" spans="1:27" s="78" customFormat="1" ht="52.5">
      <c r="A92" s="13" t="s">
        <v>2559</v>
      </c>
      <c r="B92" s="13" t="s">
        <v>11</v>
      </c>
      <c r="C92" s="12">
        <v>91</v>
      </c>
      <c r="D92" s="34" t="s">
        <v>1413</v>
      </c>
      <c r="E92" s="85" t="s">
        <v>1414</v>
      </c>
      <c r="F92" s="12" t="s">
        <v>770</v>
      </c>
      <c r="G92" s="13" t="s">
        <v>789</v>
      </c>
      <c r="H92" s="12" t="s">
        <v>1132</v>
      </c>
      <c r="I92" s="42" t="s">
        <v>145</v>
      </c>
      <c r="J92" s="12">
        <v>2008</v>
      </c>
      <c r="K92" s="13">
        <v>2012</v>
      </c>
      <c r="L92" s="13" t="s">
        <v>141</v>
      </c>
      <c r="M92" s="15" t="s">
        <v>2164</v>
      </c>
      <c r="N92" s="12"/>
      <c r="O92" s="16" t="s">
        <v>59</v>
      </c>
      <c r="P92" s="16" t="s">
        <v>10</v>
      </c>
      <c r="Q92" s="16" t="s">
        <v>859</v>
      </c>
      <c r="R92" s="15" t="s">
        <v>93</v>
      </c>
      <c r="S92" s="28" t="s">
        <v>2631</v>
      </c>
      <c r="T92" s="12">
        <v>0</v>
      </c>
      <c r="U92" s="12"/>
      <c r="V92" s="17"/>
      <c r="W92" s="38"/>
      <c r="X92" s="12"/>
      <c r="Y92" s="17"/>
      <c r="Z92" s="67"/>
      <c r="AA92" s="66"/>
    </row>
    <row r="93" spans="1:27" s="78" customFormat="1" ht="52.5">
      <c r="A93" s="13" t="s">
        <v>2559</v>
      </c>
      <c r="B93" s="13" t="s">
        <v>11</v>
      </c>
      <c r="C93" s="12">
        <v>92</v>
      </c>
      <c r="D93" s="34" t="s">
        <v>1415</v>
      </c>
      <c r="E93" s="85" t="s">
        <v>1416</v>
      </c>
      <c r="F93" s="12" t="s">
        <v>770</v>
      </c>
      <c r="G93" s="13" t="s">
        <v>789</v>
      </c>
      <c r="H93" s="12" t="s">
        <v>1132</v>
      </c>
      <c r="I93" s="42" t="s">
        <v>146</v>
      </c>
      <c r="J93" s="12">
        <v>2008</v>
      </c>
      <c r="K93" s="13">
        <v>2012</v>
      </c>
      <c r="L93" s="13" t="s">
        <v>141</v>
      </c>
      <c r="M93" s="15" t="s">
        <v>2164</v>
      </c>
      <c r="N93" s="12"/>
      <c r="O93" s="16" t="s">
        <v>59</v>
      </c>
      <c r="P93" s="16" t="s">
        <v>10</v>
      </c>
      <c r="Q93" s="16" t="s">
        <v>859</v>
      </c>
      <c r="R93" s="15" t="s">
        <v>93</v>
      </c>
      <c r="S93" s="28" t="s">
        <v>2631</v>
      </c>
      <c r="T93" s="12">
        <v>0</v>
      </c>
      <c r="U93" s="12"/>
      <c r="V93" s="17"/>
      <c r="W93" s="38"/>
      <c r="X93" s="12"/>
      <c r="Y93" s="17"/>
      <c r="Z93" s="67"/>
      <c r="AA93" s="66"/>
    </row>
    <row r="94" spans="1:27" s="78" customFormat="1" ht="70">
      <c r="A94" s="13" t="s">
        <v>2559</v>
      </c>
      <c r="B94" s="13" t="s">
        <v>11</v>
      </c>
      <c r="C94" s="12">
        <v>93</v>
      </c>
      <c r="D94" s="34" t="s">
        <v>1405</v>
      </c>
      <c r="E94" s="85" t="s">
        <v>1406</v>
      </c>
      <c r="F94" s="12" t="s">
        <v>58</v>
      </c>
      <c r="G94" s="13" t="s">
        <v>3171</v>
      </c>
      <c r="H94" s="12" t="s">
        <v>1132</v>
      </c>
      <c r="I94" s="42" t="s">
        <v>140</v>
      </c>
      <c r="J94" s="12">
        <v>2009</v>
      </c>
      <c r="K94" s="13">
        <v>2010</v>
      </c>
      <c r="L94" s="13" t="s">
        <v>141</v>
      </c>
      <c r="M94" s="15" t="s">
        <v>2099</v>
      </c>
      <c r="N94" s="12"/>
      <c r="O94" s="16" t="s">
        <v>59</v>
      </c>
      <c r="P94" s="16" t="s">
        <v>10</v>
      </c>
      <c r="Q94" s="16" t="s">
        <v>859</v>
      </c>
      <c r="R94" s="15" t="s">
        <v>93</v>
      </c>
      <c r="S94" s="28" t="s">
        <v>2631</v>
      </c>
      <c r="T94" s="12">
        <v>0</v>
      </c>
      <c r="U94" s="12"/>
      <c r="V94" s="17"/>
      <c r="W94" s="38"/>
      <c r="X94" s="12"/>
      <c r="Y94" s="17"/>
      <c r="Z94" s="67"/>
      <c r="AA94" s="66"/>
    </row>
    <row r="95" spans="1:27" s="78" customFormat="1" ht="70">
      <c r="A95" s="13" t="s">
        <v>2559</v>
      </c>
      <c r="B95" s="13" t="s">
        <v>11</v>
      </c>
      <c r="C95" s="12">
        <v>94</v>
      </c>
      <c r="D95" s="34" t="s">
        <v>1417</v>
      </c>
      <c r="E95" s="85" t="s">
        <v>1418</v>
      </c>
      <c r="F95" s="12" t="s">
        <v>770</v>
      </c>
      <c r="G95" s="13" t="s">
        <v>790</v>
      </c>
      <c r="H95" s="12" t="s">
        <v>1132</v>
      </c>
      <c r="I95" s="42" t="s">
        <v>147</v>
      </c>
      <c r="J95" s="12">
        <v>2012</v>
      </c>
      <c r="K95" s="13">
        <v>2014</v>
      </c>
      <c r="L95" s="13" t="s">
        <v>141</v>
      </c>
      <c r="M95" s="15" t="s">
        <v>2164</v>
      </c>
      <c r="N95" s="12"/>
      <c r="O95" s="15" t="s">
        <v>763</v>
      </c>
      <c r="P95" s="16" t="s">
        <v>62</v>
      </c>
      <c r="Q95" s="16" t="s">
        <v>859</v>
      </c>
      <c r="R95" s="15" t="s">
        <v>93</v>
      </c>
      <c r="S95" s="28" t="s">
        <v>2631</v>
      </c>
      <c r="T95" s="12">
        <v>0</v>
      </c>
      <c r="U95" s="12"/>
      <c r="V95" s="17"/>
      <c r="W95" s="38"/>
      <c r="X95" s="12"/>
      <c r="Y95" s="17"/>
      <c r="Z95" s="67"/>
      <c r="AA95" s="56"/>
    </row>
    <row r="96" spans="1:27" s="78" customFormat="1" ht="87.5">
      <c r="A96" s="13" t="s">
        <v>2559</v>
      </c>
      <c r="B96" s="13" t="s">
        <v>11</v>
      </c>
      <c r="C96" s="12">
        <v>95</v>
      </c>
      <c r="D96" s="34" t="s">
        <v>1407</v>
      </c>
      <c r="E96" s="85" t="s">
        <v>1408</v>
      </c>
      <c r="F96" s="12" t="s">
        <v>58</v>
      </c>
      <c r="G96" s="13" t="s">
        <v>3171</v>
      </c>
      <c r="H96" s="12" t="s">
        <v>1132</v>
      </c>
      <c r="I96" s="42" t="s">
        <v>142</v>
      </c>
      <c r="J96" s="12">
        <v>2012</v>
      </c>
      <c r="K96" s="13">
        <v>2013</v>
      </c>
      <c r="L96" s="13" t="s">
        <v>141</v>
      </c>
      <c r="M96" s="15" t="s">
        <v>2099</v>
      </c>
      <c r="N96" s="12"/>
      <c r="O96" s="16" t="s">
        <v>59</v>
      </c>
      <c r="P96" s="16" t="s">
        <v>10</v>
      </c>
      <c r="Q96" s="16" t="s">
        <v>859</v>
      </c>
      <c r="R96" s="15" t="s">
        <v>93</v>
      </c>
      <c r="S96" s="28" t="s">
        <v>2631</v>
      </c>
      <c r="T96" s="12">
        <v>0</v>
      </c>
      <c r="U96" s="12"/>
      <c r="V96" s="17"/>
      <c r="W96" s="38"/>
      <c r="X96" s="12"/>
      <c r="Y96" s="17"/>
      <c r="Z96" s="67"/>
      <c r="AA96" s="66"/>
    </row>
    <row r="97" spans="1:27" s="78" customFormat="1" ht="52.5">
      <c r="A97" s="13" t="s">
        <v>2559</v>
      </c>
      <c r="B97" s="13" t="s">
        <v>11</v>
      </c>
      <c r="C97" s="12">
        <v>96</v>
      </c>
      <c r="D97" s="34" t="s">
        <v>1409</v>
      </c>
      <c r="E97" s="85" t="s">
        <v>1410</v>
      </c>
      <c r="F97" s="12" t="s">
        <v>58</v>
      </c>
      <c r="G97" s="13" t="s">
        <v>3171</v>
      </c>
      <c r="H97" s="12" t="s">
        <v>1132</v>
      </c>
      <c r="I97" s="42" t="s">
        <v>143</v>
      </c>
      <c r="J97" s="12">
        <v>2014</v>
      </c>
      <c r="K97" s="13">
        <v>2015</v>
      </c>
      <c r="L97" s="13" t="s">
        <v>141</v>
      </c>
      <c r="M97" s="15" t="s">
        <v>2099</v>
      </c>
      <c r="N97" s="12"/>
      <c r="O97" s="16" t="s">
        <v>59</v>
      </c>
      <c r="P97" s="16" t="s">
        <v>10</v>
      </c>
      <c r="Q97" s="16" t="s">
        <v>859</v>
      </c>
      <c r="R97" s="15" t="s">
        <v>93</v>
      </c>
      <c r="S97" s="28" t="s">
        <v>2631</v>
      </c>
      <c r="T97" s="12">
        <v>0</v>
      </c>
      <c r="U97" s="12"/>
      <c r="V97" s="17"/>
      <c r="W97" s="38"/>
      <c r="X97" s="12"/>
      <c r="Y97" s="17"/>
      <c r="Z97" s="67"/>
      <c r="AA97" s="66"/>
    </row>
    <row r="98" spans="1:27" s="78" customFormat="1" ht="52.5">
      <c r="A98" s="13" t="s">
        <v>2559</v>
      </c>
      <c r="B98" s="13" t="s">
        <v>11</v>
      </c>
      <c r="C98" s="12">
        <v>97</v>
      </c>
      <c r="D98" s="34" t="s">
        <v>1411</v>
      </c>
      <c r="E98" s="85" t="s">
        <v>1412</v>
      </c>
      <c r="F98" s="12" t="s">
        <v>58</v>
      </c>
      <c r="G98" s="13" t="s">
        <v>3171</v>
      </c>
      <c r="H98" s="12" t="s">
        <v>1132</v>
      </c>
      <c r="I98" s="42" t="s">
        <v>144</v>
      </c>
      <c r="J98" s="12">
        <v>2014</v>
      </c>
      <c r="K98" s="13">
        <v>2015</v>
      </c>
      <c r="L98" s="13" t="s">
        <v>141</v>
      </c>
      <c r="M98" s="15" t="s">
        <v>2099</v>
      </c>
      <c r="N98" s="12"/>
      <c r="O98" s="16" t="s">
        <v>59</v>
      </c>
      <c r="P98" s="16" t="s">
        <v>10</v>
      </c>
      <c r="Q98" s="16" t="s">
        <v>901</v>
      </c>
      <c r="R98" s="15" t="s">
        <v>93</v>
      </c>
      <c r="S98" s="28" t="s">
        <v>2631</v>
      </c>
      <c r="T98" s="12">
        <v>0</v>
      </c>
      <c r="U98" s="12"/>
      <c r="V98" s="17"/>
      <c r="W98" s="38"/>
      <c r="X98" s="12"/>
      <c r="Y98" s="17"/>
      <c r="Z98" s="67"/>
      <c r="AA98" s="66"/>
    </row>
    <row r="99" spans="1:27" s="78" customFormat="1" ht="52.5">
      <c r="A99" s="13" t="s">
        <v>2559</v>
      </c>
      <c r="B99" s="13" t="s">
        <v>11</v>
      </c>
      <c r="C99" s="12">
        <v>98</v>
      </c>
      <c r="D99" s="34" t="s">
        <v>1210</v>
      </c>
      <c r="E99" s="85" t="s">
        <v>2198</v>
      </c>
      <c r="F99" s="12" t="s">
        <v>58</v>
      </c>
      <c r="G99" s="12" t="s">
        <v>1212</v>
      </c>
      <c r="H99" s="12" t="s">
        <v>1132</v>
      </c>
      <c r="I99" s="307" t="s">
        <v>1211</v>
      </c>
      <c r="J99" s="12">
        <v>2021</v>
      </c>
      <c r="K99" s="12">
        <v>2023</v>
      </c>
      <c r="L99" s="16" t="s">
        <v>141</v>
      </c>
      <c r="M99" s="16" t="s">
        <v>2099</v>
      </c>
      <c r="N99" s="12" t="s">
        <v>1134</v>
      </c>
      <c r="O99" s="16" t="s">
        <v>59</v>
      </c>
      <c r="P99" s="12" t="s">
        <v>57</v>
      </c>
      <c r="Q99" s="16" t="s">
        <v>859</v>
      </c>
      <c r="R99" s="15" t="s">
        <v>860</v>
      </c>
      <c r="S99" s="28" t="s">
        <v>2631</v>
      </c>
      <c r="T99" s="12">
        <v>0</v>
      </c>
      <c r="U99" s="12"/>
      <c r="V99" s="17"/>
      <c r="W99" s="38"/>
      <c r="X99" s="12"/>
      <c r="Y99" s="17"/>
      <c r="Z99" s="83"/>
      <c r="AA99" s="66"/>
    </row>
    <row r="100" spans="1:27" s="78" customFormat="1" ht="52.5">
      <c r="A100" s="13" t="s">
        <v>2559</v>
      </c>
      <c r="B100" s="13" t="s">
        <v>11</v>
      </c>
      <c r="C100" s="12">
        <v>99</v>
      </c>
      <c r="D100" s="86" t="s">
        <v>876</v>
      </c>
      <c r="E100" s="314" t="s">
        <v>2685</v>
      </c>
      <c r="F100" s="12" t="s">
        <v>770</v>
      </c>
      <c r="G100" s="12" t="s">
        <v>877</v>
      </c>
      <c r="H100" s="12" t="s">
        <v>164</v>
      </c>
      <c r="I100" s="88" t="s">
        <v>182</v>
      </c>
      <c r="J100" s="12">
        <v>2022</v>
      </c>
      <c r="K100" s="12">
        <v>2025</v>
      </c>
      <c r="L100" s="15" t="s">
        <v>141</v>
      </c>
      <c r="M100" s="15" t="s">
        <v>158</v>
      </c>
      <c r="N100" s="12"/>
      <c r="O100" s="16" t="s">
        <v>59</v>
      </c>
      <c r="P100" s="12" t="s">
        <v>57</v>
      </c>
      <c r="Q100" s="15" t="s">
        <v>859</v>
      </c>
      <c r="R100" s="15" t="s">
        <v>860</v>
      </c>
      <c r="S100" s="28" t="s">
        <v>2631</v>
      </c>
      <c r="T100" s="12">
        <v>0</v>
      </c>
      <c r="U100" s="12"/>
      <c r="V100" s="17"/>
      <c r="W100" s="38"/>
      <c r="X100" s="12"/>
      <c r="Y100" s="17"/>
      <c r="Z100" s="67"/>
      <c r="AA100" s="66"/>
    </row>
    <row r="101" spans="1:27" s="78" customFormat="1" ht="105">
      <c r="A101" s="13" t="s">
        <v>2559</v>
      </c>
      <c r="B101" s="13" t="s">
        <v>11</v>
      </c>
      <c r="C101" s="12">
        <v>100</v>
      </c>
      <c r="D101" s="298" t="s">
        <v>1198</v>
      </c>
      <c r="E101" s="312" t="s">
        <v>1199</v>
      </c>
      <c r="F101" s="12" t="s">
        <v>162</v>
      </c>
      <c r="G101" s="15" t="s">
        <v>2622</v>
      </c>
      <c r="H101" s="12" t="s">
        <v>1132</v>
      </c>
      <c r="I101" s="307" t="s">
        <v>1200</v>
      </c>
      <c r="J101" s="12">
        <v>2018</v>
      </c>
      <c r="K101" s="12">
        <v>2020</v>
      </c>
      <c r="L101" s="16" t="s">
        <v>1201</v>
      </c>
      <c r="M101" s="16" t="s">
        <v>158</v>
      </c>
      <c r="N101" s="12"/>
      <c r="O101" s="15" t="s">
        <v>763</v>
      </c>
      <c r="P101" s="12" t="s">
        <v>538</v>
      </c>
      <c r="Q101" s="16" t="s">
        <v>858</v>
      </c>
      <c r="R101" s="15" t="s">
        <v>39</v>
      </c>
      <c r="S101" s="28" t="s">
        <v>2631</v>
      </c>
      <c r="T101" s="12">
        <v>0</v>
      </c>
      <c r="U101" s="12"/>
      <c r="V101" s="17"/>
      <c r="W101" s="38"/>
      <c r="X101" s="12"/>
      <c r="Y101" s="17"/>
      <c r="Z101" s="83"/>
      <c r="AA101" s="169"/>
    </row>
    <row r="102" spans="1:27" s="78" customFormat="1" ht="52.5">
      <c r="A102" s="13" t="s">
        <v>2559</v>
      </c>
      <c r="B102" s="13" t="s">
        <v>11</v>
      </c>
      <c r="C102" s="12">
        <v>101</v>
      </c>
      <c r="D102" s="86" t="s">
        <v>875</v>
      </c>
      <c r="E102" s="176" t="s">
        <v>2686</v>
      </c>
      <c r="F102" s="12" t="s">
        <v>162</v>
      </c>
      <c r="G102" s="12" t="s">
        <v>870</v>
      </c>
      <c r="H102" s="12" t="s">
        <v>164</v>
      </c>
      <c r="I102" s="81" t="s">
        <v>181</v>
      </c>
      <c r="J102" s="12">
        <v>2023</v>
      </c>
      <c r="K102" s="12">
        <v>2025</v>
      </c>
      <c r="L102" s="162" t="s">
        <v>141</v>
      </c>
      <c r="M102" s="15" t="s">
        <v>158</v>
      </c>
      <c r="N102" s="12"/>
      <c r="O102" s="15" t="s">
        <v>763</v>
      </c>
      <c r="P102" s="12" t="s">
        <v>538</v>
      </c>
      <c r="Q102" s="15" t="s">
        <v>859</v>
      </c>
      <c r="R102" s="15" t="s">
        <v>862</v>
      </c>
      <c r="S102" s="28" t="s">
        <v>2631</v>
      </c>
      <c r="T102" s="12">
        <v>0</v>
      </c>
      <c r="U102" s="12"/>
      <c r="V102" s="17"/>
      <c r="W102" s="38"/>
      <c r="X102" s="12"/>
      <c r="Y102" s="17"/>
      <c r="Z102" s="67"/>
      <c r="AA102" s="169"/>
    </row>
    <row r="103" spans="1:27" s="78" customFormat="1" ht="87.5">
      <c r="A103" s="13" t="s">
        <v>2559</v>
      </c>
      <c r="B103" s="13" t="s">
        <v>11</v>
      </c>
      <c r="C103" s="12">
        <v>102</v>
      </c>
      <c r="D103" s="172" t="s">
        <v>2687</v>
      </c>
      <c r="E103" s="162" t="s">
        <v>2688</v>
      </c>
      <c r="F103" s="12" t="s">
        <v>162</v>
      </c>
      <c r="G103" s="12" t="s">
        <v>2621</v>
      </c>
      <c r="H103" s="164" t="s">
        <v>1132</v>
      </c>
      <c r="I103" s="49" t="s">
        <v>180</v>
      </c>
      <c r="J103" s="12">
        <v>2023</v>
      </c>
      <c r="K103" s="164">
        <v>2025</v>
      </c>
      <c r="L103" s="162" t="s">
        <v>141</v>
      </c>
      <c r="M103" s="15" t="s">
        <v>158</v>
      </c>
      <c r="N103" s="12"/>
      <c r="O103" s="15" t="s">
        <v>604</v>
      </c>
      <c r="P103" s="12" t="s">
        <v>538</v>
      </c>
      <c r="Q103" s="15" t="s">
        <v>858</v>
      </c>
      <c r="R103" s="15" t="s">
        <v>39</v>
      </c>
      <c r="S103" s="28" t="s">
        <v>2631</v>
      </c>
      <c r="T103" s="12">
        <v>0</v>
      </c>
      <c r="U103" s="12"/>
      <c r="V103" s="17"/>
      <c r="W103" s="38"/>
      <c r="X103" s="12"/>
      <c r="Y103" s="17"/>
      <c r="Z103" s="67"/>
      <c r="AA103" s="169"/>
    </row>
    <row r="104" spans="1:27" s="78" customFormat="1" ht="87.5">
      <c r="A104" s="13" t="s">
        <v>2559</v>
      </c>
      <c r="B104" s="17" t="s">
        <v>11</v>
      </c>
      <c r="C104" s="12">
        <v>103</v>
      </c>
      <c r="D104" s="34" t="s">
        <v>2550</v>
      </c>
      <c r="E104" s="85" t="s">
        <v>1419</v>
      </c>
      <c r="F104" s="12" t="s">
        <v>162</v>
      </c>
      <c r="G104" s="13" t="s">
        <v>2623</v>
      </c>
      <c r="H104" s="12" t="s">
        <v>1132</v>
      </c>
      <c r="I104" s="42" t="s">
        <v>156</v>
      </c>
      <c r="J104" s="12">
        <v>2016</v>
      </c>
      <c r="K104" s="13">
        <v>2019</v>
      </c>
      <c r="L104" s="13" t="s">
        <v>157</v>
      </c>
      <c r="M104" s="15" t="s">
        <v>158</v>
      </c>
      <c r="N104" s="12"/>
      <c r="O104" s="16" t="s">
        <v>59</v>
      </c>
      <c r="P104" s="16" t="s">
        <v>10</v>
      </c>
      <c r="Q104" s="15" t="s">
        <v>858</v>
      </c>
      <c r="R104" s="15" t="s">
        <v>39</v>
      </c>
      <c r="S104" s="28" t="s">
        <v>2631</v>
      </c>
      <c r="T104" s="12">
        <v>0</v>
      </c>
      <c r="U104" s="12"/>
      <c r="V104" s="17"/>
      <c r="W104" s="38"/>
      <c r="X104" s="12"/>
      <c r="Y104" s="17"/>
      <c r="Z104" s="67"/>
      <c r="AA104" s="169"/>
    </row>
    <row r="105" spans="1:27" s="78" customFormat="1" ht="87.5">
      <c r="A105" s="13" t="s">
        <v>2559</v>
      </c>
      <c r="B105" s="13" t="s">
        <v>11</v>
      </c>
      <c r="C105" s="12">
        <v>104</v>
      </c>
      <c r="D105" s="34" t="s">
        <v>1203</v>
      </c>
      <c r="E105" s="85" t="s">
        <v>1202</v>
      </c>
      <c r="F105" s="12" t="s">
        <v>162</v>
      </c>
      <c r="G105" s="13" t="s">
        <v>2621</v>
      </c>
      <c r="H105" s="12" t="s">
        <v>1132</v>
      </c>
      <c r="I105" s="307" t="s">
        <v>1204</v>
      </c>
      <c r="J105" s="12">
        <v>2018</v>
      </c>
      <c r="K105" s="12">
        <v>2021</v>
      </c>
      <c r="L105" s="16" t="s">
        <v>1209</v>
      </c>
      <c r="M105" s="16" t="s">
        <v>2197</v>
      </c>
      <c r="N105" s="12"/>
      <c r="O105" s="15" t="s">
        <v>763</v>
      </c>
      <c r="P105" s="12" t="s">
        <v>538</v>
      </c>
      <c r="Q105" s="16" t="s">
        <v>858</v>
      </c>
      <c r="R105" s="15" t="s">
        <v>39</v>
      </c>
      <c r="S105" s="28" t="s">
        <v>2631</v>
      </c>
      <c r="T105" s="12">
        <v>0</v>
      </c>
      <c r="U105" s="12"/>
      <c r="V105" s="17"/>
      <c r="W105" s="38"/>
      <c r="X105" s="12"/>
      <c r="Y105" s="17"/>
      <c r="Z105" s="83"/>
      <c r="AA105" s="169"/>
    </row>
    <row r="106" spans="1:27" s="78" customFormat="1" ht="70">
      <c r="A106" s="13" t="s">
        <v>2559</v>
      </c>
      <c r="B106" s="13" t="s">
        <v>11</v>
      </c>
      <c r="C106" s="12">
        <v>105</v>
      </c>
      <c r="D106" s="34" t="s">
        <v>1206</v>
      </c>
      <c r="E106" s="85" t="s">
        <v>1205</v>
      </c>
      <c r="F106" s="12" t="s">
        <v>162</v>
      </c>
      <c r="G106" s="13" t="s">
        <v>2621</v>
      </c>
      <c r="H106" s="12" t="s">
        <v>1132</v>
      </c>
      <c r="I106" s="307" t="s">
        <v>1207</v>
      </c>
      <c r="J106" s="12">
        <v>2018</v>
      </c>
      <c r="K106" s="12">
        <v>2021</v>
      </c>
      <c r="L106" s="16" t="s">
        <v>1209</v>
      </c>
      <c r="M106" s="16" t="s">
        <v>158</v>
      </c>
      <c r="N106" s="12"/>
      <c r="O106" s="15" t="s">
        <v>763</v>
      </c>
      <c r="P106" s="12" t="s">
        <v>538</v>
      </c>
      <c r="Q106" s="16" t="s">
        <v>858</v>
      </c>
      <c r="R106" s="15" t="s">
        <v>39</v>
      </c>
      <c r="S106" s="28" t="s">
        <v>2631</v>
      </c>
      <c r="T106" s="12">
        <v>0</v>
      </c>
      <c r="U106" s="12"/>
      <c r="V106" s="17"/>
      <c r="W106" s="38"/>
      <c r="X106" s="12"/>
      <c r="Y106" s="17"/>
      <c r="Z106" s="83"/>
      <c r="AA106" s="169"/>
    </row>
    <row r="107" spans="1:27" s="27" customFormat="1" ht="70">
      <c r="A107" s="13" t="s">
        <v>2559</v>
      </c>
      <c r="B107" s="13" t="s">
        <v>11</v>
      </c>
      <c r="C107" s="12">
        <v>106</v>
      </c>
      <c r="D107" s="99" t="s">
        <v>1162</v>
      </c>
      <c r="E107" s="18" t="s">
        <v>1161</v>
      </c>
      <c r="F107" s="12" t="s">
        <v>2</v>
      </c>
      <c r="G107" s="13" t="s">
        <v>781</v>
      </c>
      <c r="H107" s="12" t="s">
        <v>1132</v>
      </c>
      <c r="I107" s="88" t="s">
        <v>2138</v>
      </c>
      <c r="J107" s="12">
        <v>2021</v>
      </c>
      <c r="K107" s="12">
        <v>2023</v>
      </c>
      <c r="L107" s="16" t="s">
        <v>1163</v>
      </c>
      <c r="M107" s="16" t="s">
        <v>3063</v>
      </c>
      <c r="N107" s="13" t="s">
        <v>1134</v>
      </c>
      <c r="O107" s="16" t="s">
        <v>59</v>
      </c>
      <c r="P107" s="12" t="s">
        <v>57</v>
      </c>
      <c r="Q107" s="16" t="s">
        <v>859</v>
      </c>
      <c r="R107" s="15" t="s">
        <v>860</v>
      </c>
      <c r="S107" s="28" t="s">
        <v>2631</v>
      </c>
      <c r="T107" s="12">
        <v>0</v>
      </c>
      <c r="U107" s="12"/>
      <c r="V107" s="17"/>
      <c r="W107" s="38"/>
      <c r="X107" s="12"/>
      <c r="Y107" s="17"/>
      <c r="Z107" s="83"/>
      <c r="AA107" s="66"/>
    </row>
    <row r="108" spans="1:27" s="27" customFormat="1" ht="87.5">
      <c r="A108" s="13" t="s">
        <v>2559</v>
      </c>
      <c r="B108" s="13" t="s">
        <v>56</v>
      </c>
      <c r="C108" s="12">
        <v>107</v>
      </c>
      <c r="D108" s="34" t="s">
        <v>238</v>
      </c>
      <c r="E108" s="18" t="s">
        <v>2287</v>
      </c>
      <c r="F108" s="12" t="s">
        <v>58</v>
      </c>
      <c r="G108" s="13" t="s">
        <v>3172</v>
      </c>
      <c r="H108" s="12" t="s">
        <v>1132</v>
      </c>
      <c r="I108" s="42" t="s">
        <v>239</v>
      </c>
      <c r="J108" s="12">
        <v>2005</v>
      </c>
      <c r="K108" s="13">
        <v>2008</v>
      </c>
      <c r="L108" s="13" t="s">
        <v>235</v>
      </c>
      <c r="M108" s="16" t="s">
        <v>2283</v>
      </c>
      <c r="N108" s="12"/>
      <c r="O108" s="16" t="s">
        <v>59</v>
      </c>
      <c r="P108" s="16" t="s">
        <v>57</v>
      </c>
      <c r="Q108" s="15" t="s">
        <v>859</v>
      </c>
      <c r="R108" s="15" t="s">
        <v>93</v>
      </c>
      <c r="S108" s="28" t="s">
        <v>2631</v>
      </c>
      <c r="T108" s="12">
        <v>0</v>
      </c>
      <c r="U108" s="12"/>
      <c r="V108" s="17"/>
      <c r="W108" s="38"/>
      <c r="X108" s="12"/>
      <c r="Y108" s="17"/>
      <c r="Z108" s="67"/>
      <c r="AA108" s="169"/>
    </row>
    <row r="109" spans="1:27" s="27" customFormat="1" ht="157.5">
      <c r="A109" s="13" t="s">
        <v>2559</v>
      </c>
      <c r="B109" s="13" t="s">
        <v>56</v>
      </c>
      <c r="C109" s="12">
        <v>108</v>
      </c>
      <c r="D109" s="34" t="s">
        <v>1465</v>
      </c>
      <c r="E109" s="85" t="s">
        <v>1466</v>
      </c>
      <c r="F109" s="12" t="s">
        <v>770</v>
      </c>
      <c r="G109" s="13" t="s">
        <v>788</v>
      </c>
      <c r="H109" s="12" t="s">
        <v>1132</v>
      </c>
      <c r="I109" s="42" t="s">
        <v>234</v>
      </c>
      <c r="J109" s="12">
        <v>2014</v>
      </c>
      <c r="K109" s="13">
        <v>2017</v>
      </c>
      <c r="L109" s="13" t="s">
        <v>235</v>
      </c>
      <c r="M109" s="15" t="s">
        <v>2283</v>
      </c>
      <c r="N109" s="16" t="s">
        <v>3132</v>
      </c>
      <c r="O109" s="16" t="s">
        <v>59</v>
      </c>
      <c r="P109" s="16" t="s">
        <v>57</v>
      </c>
      <c r="Q109" s="15" t="s">
        <v>906</v>
      </c>
      <c r="R109" s="15" t="s">
        <v>907</v>
      </c>
      <c r="S109" s="28" t="s">
        <v>2631</v>
      </c>
      <c r="T109" s="12">
        <v>0</v>
      </c>
      <c r="U109" s="12"/>
      <c r="V109" s="17"/>
      <c r="W109" s="38"/>
      <c r="X109" s="12"/>
      <c r="Y109" s="17"/>
      <c r="Z109" s="67"/>
      <c r="AA109" s="66" t="s">
        <v>2793</v>
      </c>
    </row>
    <row r="110" spans="1:27" s="27" customFormat="1" ht="210">
      <c r="A110" s="13" t="s">
        <v>2559</v>
      </c>
      <c r="B110" s="13" t="s">
        <v>56</v>
      </c>
      <c r="C110" s="12">
        <v>109</v>
      </c>
      <c r="D110" s="34" t="s">
        <v>236</v>
      </c>
      <c r="E110" s="18" t="s">
        <v>2286</v>
      </c>
      <c r="F110" s="12" t="s">
        <v>58</v>
      </c>
      <c r="G110" s="13" t="s">
        <v>3157</v>
      </c>
      <c r="H110" s="12" t="s">
        <v>1132</v>
      </c>
      <c r="I110" s="42" t="s">
        <v>237</v>
      </c>
      <c r="J110" s="12">
        <v>2014</v>
      </c>
      <c r="K110" s="13">
        <v>2016</v>
      </c>
      <c r="L110" s="13" t="s">
        <v>235</v>
      </c>
      <c r="M110" s="16" t="s">
        <v>2283</v>
      </c>
      <c r="N110" s="16" t="s">
        <v>339</v>
      </c>
      <c r="O110" s="16" t="s">
        <v>59</v>
      </c>
      <c r="P110" s="16" t="s">
        <v>57</v>
      </c>
      <c r="Q110" s="15" t="s">
        <v>906</v>
      </c>
      <c r="R110" s="15" t="s">
        <v>907</v>
      </c>
      <c r="S110" s="28" t="s">
        <v>2631</v>
      </c>
      <c r="T110" s="12">
        <v>0</v>
      </c>
      <c r="U110" s="12"/>
      <c r="V110" s="17"/>
      <c r="W110" s="38"/>
      <c r="X110" s="12"/>
      <c r="Y110" s="17"/>
      <c r="Z110" s="67"/>
      <c r="AA110" s="66"/>
    </row>
    <row r="111" spans="1:27" s="27" customFormat="1" ht="52.5">
      <c r="A111" s="13" t="s">
        <v>2559</v>
      </c>
      <c r="B111" s="13" t="s">
        <v>56</v>
      </c>
      <c r="C111" s="12">
        <v>110</v>
      </c>
      <c r="D111" s="34" t="s">
        <v>1513</v>
      </c>
      <c r="E111" s="85" t="s">
        <v>1687</v>
      </c>
      <c r="F111" s="12" t="s">
        <v>58</v>
      </c>
      <c r="G111" s="13" t="s">
        <v>3173</v>
      </c>
      <c r="H111" s="12" t="s">
        <v>1132</v>
      </c>
      <c r="I111" s="42" t="s">
        <v>294</v>
      </c>
      <c r="J111" s="28">
        <v>2012</v>
      </c>
      <c r="K111" s="28">
        <v>2014</v>
      </c>
      <c r="L111" s="13" t="s">
        <v>295</v>
      </c>
      <c r="M111" s="15"/>
      <c r="N111" s="12"/>
      <c r="O111" s="16" t="s">
        <v>59</v>
      </c>
      <c r="P111" s="16" t="s">
        <v>57</v>
      </c>
      <c r="Q111" s="16" t="s">
        <v>891</v>
      </c>
      <c r="R111" s="15" t="s">
        <v>93</v>
      </c>
      <c r="S111" s="28" t="s">
        <v>2631</v>
      </c>
      <c r="T111" s="12">
        <v>0</v>
      </c>
      <c r="U111" s="12"/>
      <c r="V111" s="17"/>
      <c r="W111" s="38"/>
      <c r="X111" s="12"/>
      <c r="Y111" s="17"/>
      <c r="Z111" s="67"/>
      <c r="AA111" s="169"/>
    </row>
    <row r="112" spans="1:27" s="27" customFormat="1" ht="105">
      <c r="A112" s="13" t="s">
        <v>2559</v>
      </c>
      <c r="B112" s="13" t="s">
        <v>56</v>
      </c>
      <c r="C112" s="12">
        <v>111</v>
      </c>
      <c r="D112" s="34" t="s">
        <v>1515</v>
      </c>
      <c r="E112" s="85" t="s">
        <v>1060</v>
      </c>
      <c r="F112" s="12" t="s">
        <v>298</v>
      </c>
      <c r="G112" s="13" t="s">
        <v>299</v>
      </c>
      <c r="H112" s="12" t="s">
        <v>1132</v>
      </c>
      <c r="I112" s="42" t="s">
        <v>300</v>
      </c>
      <c r="J112" s="28">
        <v>2017</v>
      </c>
      <c r="K112" s="46">
        <v>2018</v>
      </c>
      <c r="L112" s="13" t="s">
        <v>295</v>
      </c>
      <c r="M112" s="15"/>
      <c r="N112" s="12"/>
      <c r="O112" s="16" t="s">
        <v>59</v>
      </c>
      <c r="P112" s="16" t="s">
        <v>57</v>
      </c>
      <c r="Q112" s="15" t="s">
        <v>891</v>
      </c>
      <c r="R112" s="15" t="s">
        <v>892</v>
      </c>
      <c r="S112" s="28" t="s">
        <v>2629</v>
      </c>
      <c r="T112" s="12">
        <v>1</v>
      </c>
      <c r="U112" s="12" t="s">
        <v>2964</v>
      </c>
      <c r="V112" s="17" t="s">
        <v>2997</v>
      </c>
      <c r="W112" s="38" t="s">
        <v>1621</v>
      </c>
      <c r="X112" s="12" t="s">
        <v>1595</v>
      </c>
      <c r="Y112" s="17" t="s">
        <v>1623</v>
      </c>
      <c r="Z112" s="67"/>
      <c r="AA112" s="169"/>
    </row>
    <row r="113" spans="1:27" s="27" customFormat="1" ht="87.5">
      <c r="A113" s="13" t="s">
        <v>2559</v>
      </c>
      <c r="B113" s="13" t="s">
        <v>56</v>
      </c>
      <c r="C113" s="12">
        <v>112</v>
      </c>
      <c r="D113" s="34" t="s">
        <v>1516</v>
      </c>
      <c r="E113" s="85" t="s">
        <v>1054</v>
      </c>
      <c r="F113" s="12" t="s">
        <v>298</v>
      </c>
      <c r="G113" s="13" t="s">
        <v>299</v>
      </c>
      <c r="H113" s="12" t="s">
        <v>1132</v>
      </c>
      <c r="I113" s="42" t="s">
        <v>301</v>
      </c>
      <c r="J113" s="28">
        <v>2017</v>
      </c>
      <c r="K113" s="46">
        <v>2018</v>
      </c>
      <c r="L113" s="13" t="s">
        <v>295</v>
      </c>
      <c r="M113" s="15"/>
      <c r="N113" s="12"/>
      <c r="O113" s="16" t="s">
        <v>59</v>
      </c>
      <c r="P113" s="16" t="s">
        <v>57</v>
      </c>
      <c r="Q113" s="15" t="s">
        <v>891</v>
      </c>
      <c r="R113" s="15" t="s">
        <v>892</v>
      </c>
      <c r="S113" s="28" t="s">
        <v>2629</v>
      </c>
      <c r="T113" s="12">
        <v>1</v>
      </c>
      <c r="U113" s="12" t="s">
        <v>2964</v>
      </c>
      <c r="V113" s="17" t="s">
        <v>2998</v>
      </c>
      <c r="W113" s="38" t="s">
        <v>1622</v>
      </c>
      <c r="X113" s="12" t="s">
        <v>1595</v>
      </c>
      <c r="Y113" s="17" t="s">
        <v>1623</v>
      </c>
      <c r="Z113" s="67"/>
      <c r="AA113" s="169"/>
    </row>
    <row r="114" spans="1:27" s="78" customFormat="1" ht="70">
      <c r="A114" s="13" t="s">
        <v>2559</v>
      </c>
      <c r="B114" s="13" t="s">
        <v>11</v>
      </c>
      <c r="C114" s="12">
        <v>113</v>
      </c>
      <c r="D114" s="33" t="s">
        <v>1271</v>
      </c>
      <c r="E114" s="16" t="s">
        <v>1270</v>
      </c>
      <c r="F114" s="12" t="s">
        <v>298</v>
      </c>
      <c r="G114" s="13" t="s">
        <v>299</v>
      </c>
      <c r="H114" s="12" t="s">
        <v>1132</v>
      </c>
      <c r="I114" s="14" t="s">
        <v>360</v>
      </c>
      <c r="J114" s="12">
        <v>2020</v>
      </c>
      <c r="K114" s="12">
        <v>2021</v>
      </c>
      <c r="L114" s="16" t="s">
        <v>295</v>
      </c>
      <c r="M114" s="15"/>
      <c r="N114" s="12"/>
      <c r="O114" s="16" t="s">
        <v>59</v>
      </c>
      <c r="P114" s="12" t="s">
        <v>57</v>
      </c>
      <c r="Q114" s="16" t="s">
        <v>891</v>
      </c>
      <c r="R114" s="15" t="s">
        <v>892</v>
      </c>
      <c r="S114" s="28" t="s">
        <v>2629</v>
      </c>
      <c r="T114" s="12">
        <v>1</v>
      </c>
      <c r="U114" s="12" t="s">
        <v>1781</v>
      </c>
      <c r="V114" s="17" t="s">
        <v>362</v>
      </c>
      <c r="W114" s="38" t="s">
        <v>361</v>
      </c>
      <c r="X114" s="12" t="s">
        <v>2970</v>
      </c>
      <c r="Y114" s="17" t="s">
        <v>1275</v>
      </c>
      <c r="Z114" s="83"/>
      <c r="AA114" s="169"/>
    </row>
    <row r="115" spans="1:27" s="78" customFormat="1" ht="175">
      <c r="A115" s="13" t="s">
        <v>2559</v>
      </c>
      <c r="B115" s="13" t="s">
        <v>11</v>
      </c>
      <c r="C115" s="12">
        <v>114</v>
      </c>
      <c r="D115" s="93" t="s">
        <v>1272</v>
      </c>
      <c r="E115" s="154" t="s">
        <v>1273</v>
      </c>
      <c r="F115" s="12" t="s">
        <v>298</v>
      </c>
      <c r="G115" s="13" t="s">
        <v>363</v>
      </c>
      <c r="H115" s="12" t="s">
        <v>1132</v>
      </c>
      <c r="I115" s="261" t="s">
        <v>364</v>
      </c>
      <c r="J115" s="12">
        <v>2021</v>
      </c>
      <c r="K115" s="12">
        <v>2023</v>
      </c>
      <c r="L115" s="53" t="s">
        <v>295</v>
      </c>
      <c r="M115" s="91"/>
      <c r="N115" s="12"/>
      <c r="O115" s="16" t="s">
        <v>59</v>
      </c>
      <c r="P115" s="12" t="s">
        <v>57</v>
      </c>
      <c r="Q115" s="16" t="s">
        <v>891</v>
      </c>
      <c r="R115" s="15" t="s">
        <v>892</v>
      </c>
      <c r="S115" s="28" t="s">
        <v>2629</v>
      </c>
      <c r="T115" s="12">
        <v>2</v>
      </c>
      <c r="U115" s="15" t="s">
        <v>2736</v>
      </c>
      <c r="V115" s="30" t="s">
        <v>2963</v>
      </c>
      <c r="W115" s="38" t="s">
        <v>1274</v>
      </c>
      <c r="X115" s="12" t="s">
        <v>2970</v>
      </c>
      <c r="Y115" s="17" t="s">
        <v>1275</v>
      </c>
      <c r="Z115" s="83"/>
      <c r="AA115" s="169"/>
    </row>
    <row r="116" spans="1:27" s="78" customFormat="1" ht="52.5">
      <c r="A116" s="13" t="s">
        <v>2559</v>
      </c>
      <c r="B116" s="13" t="s">
        <v>56</v>
      </c>
      <c r="C116" s="12">
        <v>115</v>
      </c>
      <c r="D116" s="299" t="s">
        <v>1510</v>
      </c>
      <c r="E116" s="280" t="s">
        <v>1684</v>
      </c>
      <c r="F116" s="12" t="s">
        <v>58</v>
      </c>
      <c r="G116" s="13" t="s">
        <v>3173</v>
      </c>
      <c r="H116" s="12" t="s">
        <v>1132</v>
      </c>
      <c r="I116" s="40" t="s">
        <v>290</v>
      </c>
      <c r="J116" s="28">
        <v>2011</v>
      </c>
      <c r="K116" s="28">
        <v>2012</v>
      </c>
      <c r="L116" s="13" t="s">
        <v>291</v>
      </c>
      <c r="M116" s="91"/>
      <c r="N116" s="92"/>
      <c r="O116" s="16" t="s">
        <v>59</v>
      </c>
      <c r="P116" s="16" t="s">
        <v>57</v>
      </c>
      <c r="Q116" s="16" t="s">
        <v>864</v>
      </c>
      <c r="R116" s="15" t="s">
        <v>93</v>
      </c>
      <c r="S116" s="28" t="s">
        <v>2631</v>
      </c>
      <c r="T116" s="12">
        <v>0</v>
      </c>
      <c r="U116" s="12"/>
      <c r="V116" s="17"/>
      <c r="W116" s="38"/>
      <c r="X116" s="12"/>
      <c r="Y116" s="17"/>
      <c r="Z116" s="67"/>
      <c r="AA116" s="169"/>
    </row>
    <row r="117" spans="1:27" s="78" customFormat="1" ht="175">
      <c r="A117" s="13" t="s">
        <v>2559</v>
      </c>
      <c r="B117" s="28" t="s">
        <v>56</v>
      </c>
      <c r="C117" s="12">
        <v>116</v>
      </c>
      <c r="D117" s="108" t="s">
        <v>2173</v>
      </c>
      <c r="E117" s="107"/>
      <c r="F117" s="28" t="s">
        <v>93</v>
      </c>
      <c r="G117" s="28" t="s">
        <v>2210</v>
      </c>
      <c r="H117" s="28" t="s">
        <v>1132</v>
      </c>
      <c r="I117" s="121" t="s">
        <v>390</v>
      </c>
      <c r="J117" s="29">
        <v>2021</v>
      </c>
      <c r="K117" s="29">
        <v>2024</v>
      </c>
      <c r="L117" s="46" t="s">
        <v>2175</v>
      </c>
      <c r="M117" s="285" t="s">
        <v>2176</v>
      </c>
      <c r="N117" s="282"/>
      <c r="O117" s="16" t="s">
        <v>59</v>
      </c>
      <c r="P117" s="29" t="s">
        <v>57</v>
      </c>
      <c r="Q117" s="46" t="s">
        <v>910</v>
      </c>
      <c r="R117" s="46" t="s">
        <v>23</v>
      </c>
      <c r="S117" s="28" t="s">
        <v>2631</v>
      </c>
      <c r="T117" s="12">
        <v>0</v>
      </c>
      <c r="U117" s="12"/>
      <c r="V117" s="17"/>
      <c r="W117" s="38"/>
      <c r="X117" s="12"/>
      <c r="Y117" s="17"/>
      <c r="Z117" s="100"/>
      <c r="AA117" s="169"/>
    </row>
    <row r="118" spans="1:27" s="78" customFormat="1" ht="87.5">
      <c r="A118" s="13" t="s">
        <v>2559</v>
      </c>
      <c r="B118" s="28" t="s">
        <v>56</v>
      </c>
      <c r="C118" s="12">
        <v>117</v>
      </c>
      <c r="D118" s="108" t="s">
        <v>2177</v>
      </c>
      <c r="E118" s="107"/>
      <c r="F118" s="28" t="s">
        <v>93</v>
      </c>
      <c r="G118" s="28" t="s">
        <v>2210</v>
      </c>
      <c r="H118" s="28" t="s">
        <v>1132</v>
      </c>
      <c r="I118" s="48" t="s">
        <v>392</v>
      </c>
      <c r="J118" s="29">
        <v>2021</v>
      </c>
      <c r="K118" s="29">
        <v>2024</v>
      </c>
      <c r="L118" s="46" t="s">
        <v>2175</v>
      </c>
      <c r="M118" s="46" t="s">
        <v>2176</v>
      </c>
      <c r="N118" s="29"/>
      <c r="O118" s="16" t="s">
        <v>59</v>
      </c>
      <c r="P118" s="29" t="s">
        <v>57</v>
      </c>
      <c r="Q118" s="46" t="s">
        <v>910</v>
      </c>
      <c r="R118" s="46" t="s">
        <v>23</v>
      </c>
      <c r="S118" s="28" t="s">
        <v>2631</v>
      </c>
      <c r="T118" s="12">
        <v>0</v>
      </c>
      <c r="U118" s="12"/>
      <c r="V118" s="17"/>
      <c r="W118" s="38"/>
      <c r="X118" s="12"/>
      <c r="Y118" s="17"/>
      <c r="Z118" s="100"/>
      <c r="AA118" s="169"/>
    </row>
    <row r="119" spans="1:27" s="67" customFormat="1" ht="175">
      <c r="A119" s="13" t="s">
        <v>2559</v>
      </c>
      <c r="B119" s="28" t="s">
        <v>56</v>
      </c>
      <c r="C119" s="12">
        <v>118</v>
      </c>
      <c r="D119" s="47" t="s">
        <v>2213</v>
      </c>
      <c r="E119" s="110" t="s">
        <v>2214</v>
      </c>
      <c r="F119" s="28" t="s">
        <v>93</v>
      </c>
      <c r="G119" s="28" t="s">
        <v>2174</v>
      </c>
      <c r="H119" s="28" t="s">
        <v>164</v>
      </c>
      <c r="I119" s="48" t="s">
        <v>2215</v>
      </c>
      <c r="J119" s="28">
        <v>2024</v>
      </c>
      <c r="K119" s="28">
        <v>2026</v>
      </c>
      <c r="L119" s="48" t="s">
        <v>2175</v>
      </c>
      <c r="M119" s="48" t="s">
        <v>2176</v>
      </c>
      <c r="N119" s="28"/>
      <c r="O119" s="16" t="s">
        <v>59</v>
      </c>
      <c r="P119" s="28" t="s">
        <v>57</v>
      </c>
      <c r="Q119" s="48" t="s">
        <v>910</v>
      </c>
      <c r="R119" s="48" t="s">
        <v>23</v>
      </c>
      <c r="S119" s="28" t="s">
        <v>2631</v>
      </c>
      <c r="T119" s="12">
        <v>0</v>
      </c>
      <c r="U119" s="12"/>
      <c r="V119" s="17"/>
      <c r="W119" s="38"/>
      <c r="X119" s="12"/>
      <c r="Y119" s="17"/>
      <c r="Z119" s="57"/>
      <c r="AA119" s="169"/>
    </row>
    <row r="120" spans="1:27" s="67" customFormat="1" ht="105">
      <c r="A120" s="13" t="s">
        <v>2559</v>
      </c>
      <c r="B120" s="28" t="s">
        <v>56</v>
      </c>
      <c r="C120" s="12">
        <v>119</v>
      </c>
      <c r="D120" s="47" t="s">
        <v>2216</v>
      </c>
      <c r="E120" s="110" t="s">
        <v>2217</v>
      </c>
      <c r="F120" s="28" t="s">
        <v>93</v>
      </c>
      <c r="G120" s="28" t="s">
        <v>2174</v>
      </c>
      <c r="H120" s="28" t="s">
        <v>164</v>
      </c>
      <c r="I120" s="48" t="s">
        <v>2218</v>
      </c>
      <c r="J120" s="28">
        <v>2024</v>
      </c>
      <c r="K120" s="28">
        <v>2026</v>
      </c>
      <c r="L120" s="48" t="s">
        <v>2175</v>
      </c>
      <c r="M120" s="48" t="s">
        <v>2176</v>
      </c>
      <c r="N120" s="28"/>
      <c r="O120" s="16" t="s">
        <v>59</v>
      </c>
      <c r="P120" s="28" t="s">
        <v>57</v>
      </c>
      <c r="Q120" s="48" t="s">
        <v>910</v>
      </c>
      <c r="R120" s="48" t="s">
        <v>23</v>
      </c>
      <c r="S120" s="28" t="s">
        <v>2631</v>
      </c>
      <c r="T120" s="12">
        <v>0</v>
      </c>
      <c r="U120" s="12"/>
      <c r="V120" s="17"/>
      <c r="W120" s="38"/>
      <c r="X120" s="12"/>
      <c r="Y120" s="17"/>
      <c r="Z120" s="57"/>
      <c r="AA120" s="169"/>
    </row>
    <row r="121" spans="1:27" s="100" customFormat="1" ht="52.5">
      <c r="A121" s="13" t="s">
        <v>2559</v>
      </c>
      <c r="B121" s="28" t="s">
        <v>11</v>
      </c>
      <c r="C121" s="12">
        <v>120</v>
      </c>
      <c r="D121" s="47" t="s">
        <v>2219</v>
      </c>
      <c r="E121" s="28" t="s">
        <v>2220</v>
      </c>
      <c r="F121" s="28" t="s">
        <v>58</v>
      </c>
      <c r="G121" s="28" t="s">
        <v>898</v>
      </c>
      <c r="H121" s="28" t="s">
        <v>164</v>
      </c>
      <c r="I121" s="48" t="s">
        <v>2221</v>
      </c>
      <c r="J121" s="28">
        <v>2024</v>
      </c>
      <c r="K121" s="28">
        <v>2026</v>
      </c>
      <c r="L121" s="48" t="s">
        <v>2175</v>
      </c>
      <c r="M121" s="48" t="s">
        <v>2176</v>
      </c>
      <c r="N121" s="28"/>
      <c r="O121" s="16" t="s">
        <v>59</v>
      </c>
      <c r="P121" s="28" t="s">
        <v>57</v>
      </c>
      <c r="Q121" s="48" t="s">
        <v>901</v>
      </c>
      <c r="R121" s="163" t="s">
        <v>29</v>
      </c>
      <c r="S121" s="28" t="s">
        <v>2631</v>
      </c>
      <c r="T121" s="12">
        <v>0</v>
      </c>
      <c r="U121" s="12"/>
      <c r="V121" s="17"/>
      <c r="W121" s="38"/>
      <c r="X121" s="12"/>
      <c r="Y121" s="17"/>
      <c r="Z121" s="57"/>
      <c r="AA121" s="169"/>
    </row>
    <row r="122" spans="1:27" s="78" customFormat="1" ht="52.5">
      <c r="A122" s="13" t="s">
        <v>2559</v>
      </c>
      <c r="B122" s="28" t="s">
        <v>11</v>
      </c>
      <c r="C122" s="12">
        <v>121</v>
      </c>
      <c r="D122" s="47" t="s">
        <v>2222</v>
      </c>
      <c r="E122" s="28"/>
      <c r="F122" s="28" t="s">
        <v>58</v>
      </c>
      <c r="G122" s="28" t="s">
        <v>903</v>
      </c>
      <c r="H122" s="28" t="s">
        <v>389</v>
      </c>
      <c r="I122" s="48" t="s">
        <v>2223</v>
      </c>
      <c r="J122" s="28">
        <v>2025</v>
      </c>
      <c r="K122" s="28">
        <v>2028</v>
      </c>
      <c r="L122" s="48" t="s">
        <v>2175</v>
      </c>
      <c r="M122" s="48" t="s">
        <v>2176</v>
      </c>
      <c r="N122" s="28"/>
      <c r="O122" s="16" t="s">
        <v>59</v>
      </c>
      <c r="P122" s="28" t="s">
        <v>57</v>
      </c>
      <c r="Q122" s="48" t="s">
        <v>901</v>
      </c>
      <c r="R122" s="163" t="s">
        <v>29</v>
      </c>
      <c r="S122" s="28" t="s">
        <v>2631</v>
      </c>
      <c r="T122" s="12">
        <v>0</v>
      </c>
      <c r="U122" s="12"/>
      <c r="V122" s="17"/>
      <c r="W122" s="38"/>
      <c r="X122" s="12"/>
      <c r="Y122" s="17"/>
      <c r="Z122" s="57"/>
      <c r="AA122" s="169"/>
    </row>
    <row r="123" spans="1:27" s="78" customFormat="1" ht="140">
      <c r="A123" s="13" t="s">
        <v>2559</v>
      </c>
      <c r="B123" s="13" t="s">
        <v>11</v>
      </c>
      <c r="C123" s="12">
        <v>122</v>
      </c>
      <c r="D123" s="33" t="s">
        <v>1259</v>
      </c>
      <c r="E123" s="16" t="s">
        <v>1258</v>
      </c>
      <c r="F123" s="12" t="s">
        <v>162</v>
      </c>
      <c r="G123" s="39" t="s">
        <v>2606</v>
      </c>
      <c r="H123" s="12" t="s">
        <v>1132</v>
      </c>
      <c r="I123" s="33" t="s">
        <v>347</v>
      </c>
      <c r="J123" s="12">
        <v>2018</v>
      </c>
      <c r="K123" s="12">
        <v>2021</v>
      </c>
      <c r="L123" s="16" t="s">
        <v>348</v>
      </c>
      <c r="M123" s="16" t="s">
        <v>2501</v>
      </c>
      <c r="N123" s="12"/>
      <c r="O123" s="16" t="s">
        <v>59</v>
      </c>
      <c r="P123" s="12" t="s">
        <v>57</v>
      </c>
      <c r="Q123" s="16" t="s">
        <v>859</v>
      </c>
      <c r="R123" s="15" t="s">
        <v>93</v>
      </c>
      <c r="S123" s="28" t="s">
        <v>2631</v>
      </c>
      <c r="T123" s="12">
        <v>0</v>
      </c>
      <c r="U123" s="12"/>
      <c r="V123" s="17"/>
      <c r="W123" s="38"/>
      <c r="X123" s="12"/>
      <c r="Y123" s="17"/>
      <c r="Z123" s="83"/>
      <c r="AA123" s="169"/>
    </row>
    <row r="124" spans="1:27" s="78" customFormat="1" ht="122.5">
      <c r="A124" s="13" t="s">
        <v>2559</v>
      </c>
      <c r="B124" s="28" t="s">
        <v>56</v>
      </c>
      <c r="C124" s="12">
        <v>123</v>
      </c>
      <c r="D124" s="47" t="s">
        <v>1485</v>
      </c>
      <c r="E124" s="46" t="s">
        <v>1486</v>
      </c>
      <c r="F124" s="29" t="s">
        <v>1522</v>
      </c>
      <c r="G124" s="28" t="s">
        <v>764</v>
      </c>
      <c r="H124" s="29" t="s">
        <v>1132</v>
      </c>
      <c r="I124" s="47" t="s">
        <v>257</v>
      </c>
      <c r="J124" s="28">
        <v>2016</v>
      </c>
      <c r="K124" s="28">
        <v>2019</v>
      </c>
      <c r="L124" s="28" t="s">
        <v>258</v>
      </c>
      <c r="M124" s="46" t="s">
        <v>2178</v>
      </c>
      <c r="N124" s="29"/>
      <c r="O124" s="16" t="s">
        <v>59</v>
      </c>
      <c r="P124" s="48" t="s">
        <v>57</v>
      </c>
      <c r="Q124" s="46" t="s">
        <v>891</v>
      </c>
      <c r="R124" s="46" t="s">
        <v>892</v>
      </c>
      <c r="S124" s="28" t="s">
        <v>2631</v>
      </c>
      <c r="T124" s="12">
        <v>0</v>
      </c>
      <c r="U124" s="12"/>
      <c r="V124" s="17"/>
      <c r="W124" s="38"/>
      <c r="X124" s="12"/>
      <c r="Y124" s="17"/>
      <c r="Z124" s="109"/>
      <c r="AA124" s="169"/>
    </row>
    <row r="125" spans="1:27" s="78" customFormat="1" ht="52.5">
      <c r="A125" s="13" t="s">
        <v>2559</v>
      </c>
      <c r="B125" s="28" t="s">
        <v>56</v>
      </c>
      <c r="C125" s="12">
        <v>124</v>
      </c>
      <c r="D125" s="47" t="s">
        <v>2245</v>
      </c>
      <c r="E125" s="28" t="s">
        <v>2246</v>
      </c>
      <c r="F125" s="28" t="s">
        <v>534</v>
      </c>
      <c r="G125" s="28" t="s">
        <v>2247</v>
      </c>
      <c r="H125" s="28" t="s">
        <v>1132</v>
      </c>
      <c r="I125" s="28" t="s">
        <v>2248</v>
      </c>
      <c r="J125" s="28">
        <v>2009</v>
      </c>
      <c r="K125" s="28">
        <v>2011</v>
      </c>
      <c r="L125" s="28" t="s">
        <v>2249</v>
      </c>
      <c r="M125" s="28"/>
      <c r="N125" s="28"/>
      <c r="O125" s="16" t="s">
        <v>59</v>
      </c>
      <c r="P125" s="28" t="s">
        <v>57</v>
      </c>
      <c r="Q125" s="48" t="s">
        <v>891</v>
      </c>
      <c r="R125" s="48" t="s">
        <v>93</v>
      </c>
      <c r="S125" s="28" t="s">
        <v>2631</v>
      </c>
      <c r="T125" s="12">
        <v>0</v>
      </c>
      <c r="U125" s="12"/>
      <c r="V125" s="17"/>
      <c r="W125" s="38"/>
      <c r="X125" s="12"/>
      <c r="Y125" s="17"/>
      <c r="Z125" s="57"/>
      <c r="AA125" s="169"/>
    </row>
    <row r="126" spans="1:27" s="78" customFormat="1" ht="52.5">
      <c r="A126" s="13" t="s">
        <v>2559</v>
      </c>
      <c r="B126" s="28" t="s">
        <v>56</v>
      </c>
      <c r="C126" s="12">
        <v>125</v>
      </c>
      <c r="D126" s="47" t="s">
        <v>2179</v>
      </c>
      <c r="E126" s="48" t="s">
        <v>2180</v>
      </c>
      <c r="F126" s="28" t="s">
        <v>2</v>
      </c>
      <c r="G126" s="28" t="s">
        <v>2607</v>
      </c>
      <c r="H126" s="28" t="s">
        <v>811</v>
      </c>
      <c r="I126" s="44" t="s">
        <v>2181</v>
      </c>
      <c r="J126" s="28">
        <v>2012</v>
      </c>
      <c r="K126" s="28">
        <v>2014</v>
      </c>
      <c r="L126" s="48" t="s">
        <v>2182</v>
      </c>
      <c r="M126" s="48" t="s">
        <v>2178</v>
      </c>
      <c r="N126" s="28"/>
      <c r="O126" s="16" t="s">
        <v>59</v>
      </c>
      <c r="P126" s="48" t="s">
        <v>57</v>
      </c>
      <c r="Q126" s="48" t="s">
        <v>891</v>
      </c>
      <c r="R126" s="48" t="s">
        <v>892</v>
      </c>
      <c r="S126" s="28" t="s">
        <v>2631</v>
      </c>
      <c r="T126" s="12">
        <v>0</v>
      </c>
      <c r="U126" s="12"/>
      <c r="V126" s="17"/>
      <c r="W126" s="38"/>
      <c r="X126" s="12"/>
      <c r="Y126" s="17"/>
      <c r="Z126" s="57"/>
      <c r="AA126" s="169"/>
    </row>
    <row r="127" spans="1:27" s="78" customFormat="1" ht="140">
      <c r="A127" s="13" t="s">
        <v>2559</v>
      </c>
      <c r="B127" s="16" t="s">
        <v>11</v>
      </c>
      <c r="C127" s="12">
        <v>126</v>
      </c>
      <c r="D127" s="33" t="s">
        <v>1441</v>
      </c>
      <c r="E127" s="15" t="s">
        <v>1443</v>
      </c>
      <c r="F127" s="12" t="s">
        <v>770</v>
      </c>
      <c r="G127" s="16" t="s">
        <v>1697</v>
      </c>
      <c r="H127" s="12" t="s">
        <v>1132</v>
      </c>
      <c r="I127" s="33" t="s">
        <v>199</v>
      </c>
      <c r="J127" s="12">
        <v>2004</v>
      </c>
      <c r="K127" s="13">
        <v>2008</v>
      </c>
      <c r="L127" s="13" t="s">
        <v>65</v>
      </c>
      <c r="M127" s="15" t="s">
        <v>2169</v>
      </c>
      <c r="N127" s="12"/>
      <c r="O127" s="16" t="s">
        <v>604</v>
      </c>
      <c r="P127" s="16" t="s">
        <v>538</v>
      </c>
      <c r="Q127" s="15" t="s">
        <v>859</v>
      </c>
      <c r="R127" s="15" t="s">
        <v>93</v>
      </c>
      <c r="S127" s="28" t="s">
        <v>2631</v>
      </c>
      <c r="T127" s="12">
        <v>0</v>
      </c>
      <c r="U127" s="12"/>
      <c r="V127" s="17"/>
      <c r="W127" s="38"/>
      <c r="X127" s="12"/>
      <c r="Y127" s="17"/>
      <c r="Z127" s="67"/>
      <c r="AA127" s="169"/>
    </row>
    <row r="128" spans="1:27" s="78" customFormat="1" ht="140">
      <c r="A128" s="13" t="s">
        <v>2559</v>
      </c>
      <c r="B128" s="16" t="s">
        <v>11</v>
      </c>
      <c r="C128" s="12">
        <v>127</v>
      </c>
      <c r="D128" s="33" t="s">
        <v>1441</v>
      </c>
      <c r="E128" s="15" t="s">
        <v>1442</v>
      </c>
      <c r="F128" s="12" t="s">
        <v>58</v>
      </c>
      <c r="G128" s="16" t="s">
        <v>766</v>
      </c>
      <c r="H128" s="12" t="s">
        <v>1132</v>
      </c>
      <c r="I128" s="33" t="s">
        <v>199</v>
      </c>
      <c r="J128" s="13">
        <v>2004</v>
      </c>
      <c r="K128" s="13">
        <v>2008</v>
      </c>
      <c r="L128" s="13" t="s">
        <v>65</v>
      </c>
      <c r="M128" s="15" t="s">
        <v>2101</v>
      </c>
      <c r="N128" s="12"/>
      <c r="O128" s="16" t="s">
        <v>604</v>
      </c>
      <c r="P128" s="16" t="s">
        <v>538</v>
      </c>
      <c r="Q128" s="15" t="s">
        <v>859</v>
      </c>
      <c r="R128" s="15" t="s">
        <v>93</v>
      </c>
      <c r="S128" s="28" t="s">
        <v>2631</v>
      </c>
      <c r="T128" s="12">
        <v>0</v>
      </c>
      <c r="U128" s="12"/>
      <c r="V128" s="17"/>
      <c r="W128" s="38"/>
      <c r="X128" s="12"/>
      <c r="Y128" s="17"/>
      <c r="Z128" s="67"/>
      <c r="AA128" s="169"/>
    </row>
    <row r="129" spans="1:27" s="78" customFormat="1" ht="70">
      <c r="A129" s="13" t="s">
        <v>2559</v>
      </c>
      <c r="B129" s="16" t="s">
        <v>11</v>
      </c>
      <c r="C129" s="12">
        <v>128</v>
      </c>
      <c r="D129" s="33" t="s">
        <v>1436</v>
      </c>
      <c r="E129" s="15" t="s">
        <v>1438</v>
      </c>
      <c r="F129" s="12" t="s">
        <v>770</v>
      </c>
      <c r="G129" s="16" t="s">
        <v>1697</v>
      </c>
      <c r="H129" s="12" t="s">
        <v>1132</v>
      </c>
      <c r="I129" s="33" t="s">
        <v>197</v>
      </c>
      <c r="J129" s="13">
        <v>2008</v>
      </c>
      <c r="K129" s="13">
        <v>2011</v>
      </c>
      <c r="L129" s="13" t="s">
        <v>65</v>
      </c>
      <c r="M129" s="15" t="s">
        <v>2169</v>
      </c>
      <c r="N129" s="12"/>
      <c r="O129" s="16" t="s">
        <v>604</v>
      </c>
      <c r="P129" s="16" t="s">
        <v>538</v>
      </c>
      <c r="Q129" s="15" t="s">
        <v>859</v>
      </c>
      <c r="R129" s="15" t="s">
        <v>93</v>
      </c>
      <c r="S129" s="28" t="s">
        <v>2629</v>
      </c>
      <c r="T129" s="12">
        <v>1</v>
      </c>
      <c r="U129" s="12" t="s">
        <v>2964</v>
      </c>
      <c r="V129" s="17" t="s">
        <v>2999</v>
      </c>
      <c r="W129" s="38" t="s">
        <v>1608</v>
      </c>
      <c r="X129" s="12" t="s">
        <v>1607</v>
      </c>
      <c r="Y129" s="17" t="s">
        <v>1609</v>
      </c>
      <c r="Z129" s="67"/>
      <c r="AA129" s="169"/>
    </row>
    <row r="130" spans="1:27" s="78" customFormat="1" ht="87.5">
      <c r="A130" s="13" t="s">
        <v>2559</v>
      </c>
      <c r="B130" s="16" t="s">
        <v>11</v>
      </c>
      <c r="C130" s="12">
        <v>129</v>
      </c>
      <c r="D130" s="33" t="s">
        <v>1439</v>
      </c>
      <c r="E130" s="15" t="s">
        <v>1440</v>
      </c>
      <c r="F130" s="12" t="s">
        <v>770</v>
      </c>
      <c r="G130" s="16" t="s">
        <v>1697</v>
      </c>
      <c r="H130" s="12" t="s">
        <v>1132</v>
      </c>
      <c r="I130" s="33" t="s">
        <v>198</v>
      </c>
      <c r="J130" s="13">
        <v>2008</v>
      </c>
      <c r="K130" s="13">
        <v>2011</v>
      </c>
      <c r="L130" s="13" t="s">
        <v>65</v>
      </c>
      <c r="M130" s="15" t="s">
        <v>2169</v>
      </c>
      <c r="N130" s="12"/>
      <c r="O130" s="16" t="s">
        <v>604</v>
      </c>
      <c r="P130" s="16" t="s">
        <v>538</v>
      </c>
      <c r="Q130" s="15" t="s">
        <v>859</v>
      </c>
      <c r="R130" s="15" t="s">
        <v>93</v>
      </c>
      <c r="S130" s="28" t="s">
        <v>2631</v>
      </c>
      <c r="T130" s="12">
        <v>0</v>
      </c>
      <c r="U130" s="12"/>
      <c r="V130" s="17"/>
      <c r="W130" s="38"/>
      <c r="X130" s="12"/>
      <c r="Y130" s="17"/>
      <c r="Z130" s="67"/>
      <c r="AA130" s="169"/>
    </row>
    <row r="131" spans="1:27" s="78" customFormat="1" ht="70">
      <c r="A131" s="13" t="s">
        <v>2559</v>
      </c>
      <c r="B131" s="16" t="s">
        <v>11</v>
      </c>
      <c r="C131" s="12">
        <v>130</v>
      </c>
      <c r="D131" s="33" t="s">
        <v>1436</v>
      </c>
      <c r="E131" s="16" t="s">
        <v>1437</v>
      </c>
      <c r="F131" s="13" t="s">
        <v>58</v>
      </c>
      <c r="G131" s="16" t="s">
        <v>766</v>
      </c>
      <c r="H131" s="13" t="s">
        <v>1132</v>
      </c>
      <c r="I131" s="33" t="s">
        <v>197</v>
      </c>
      <c r="J131" s="13">
        <v>2008</v>
      </c>
      <c r="K131" s="13">
        <v>2011</v>
      </c>
      <c r="L131" s="13" t="s">
        <v>65</v>
      </c>
      <c r="M131" s="15" t="s">
        <v>2101</v>
      </c>
      <c r="N131" s="12"/>
      <c r="O131" s="16" t="s">
        <v>604</v>
      </c>
      <c r="P131" s="16" t="s">
        <v>538</v>
      </c>
      <c r="Q131" s="15" t="s">
        <v>859</v>
      </c>
      <c r="R131" s="15" t="s">
        <v>93</v>
      </c>
      <c r="S131" s="28" t="s">
        <v>2629</v>
      </c>
      <c r="T131" s="12">
        <v>1</v>
      </c>
      <c r="U131" s="12" t="s">
        <v>2964</v>
      </c>
      <c r="V131" s="17" t="s">
        <v>2999</v>
      </c>
      <c r="W131" s="38" t="s">
        <v>1608</v>
      </c>
      <c r="X131" s="12" t="s">
        <v>1607</v>
      </c>
      <c r="Y131" s="17" t="s">
        <v>1609</v>
      </c>
      <c r="Z131" s="67"/>
      <c r="AA131" s="169" t="s">
        <v>2794</v>
      </c>
    </row>
    <row r="132" spans="1:27" s="78" customFormat="1" ht="35">
      <c r="A132" s="13" t="s">
        <v>2559</v>
      </c>
      <c r="B132" s="16" t="s">
        <v>11</v>
      </c>
      <c r="C132" s="12">
        <v>131</v>
      </c>
      <c r="D132" s="33" t="s">
        <v>1434</v>
      </c>
      <c r="E132" s="15" t="s">
        <v>1435</v>
      </c>
      <c r="F132" s="12" t="s">
        <v>58</v>
      </c>
      <c r="G132" s="13" t="s">
        <v>188</v>
      </c>
      <c r="H132" s="12" t="s">
        <v>1132</v>
      </c>
      <c r="I132" s="33" t="s">
        <v>196</v>
      </c>
      <c r="J132" s="13">
        <v>2009</v>
      </c>
      <c r="K132" s="13">
        <v>2012</v>
      </c>
      <c r="L132" s="13" t="s">
        <v>65</v>
      </c>
      <c r="M132" s="15" t="s">
        <v>2101</v>
      </c>
      <c r="N132" s="15" t="s">
        <v>2159</v>
      </c>
      <c r="O132" s="16" t="s">
        <v>604</v>
      </c>
      <c r="P132" s="16" t="s">
        <v>538</v>
      </c>
      <c r="Q132" s="15" t="s">
        <v>859</v>
      </c>
      <c r="R132" s="15" t="s">
        <v>93</v>
      </c>
      <c r="S132" s="28" t="s">
        <v>2631</v>
      </c>
      <c r="T132" s="12">
        <v>0</v>
      </c>
      <c r="U132" s="12"/>
      <c r="V132" s="17"/>
      <c r="W132" s="38"/>
      <c r="X132" s="12"/>
      <c r="Y132" s="17"/>
      <c r="Z132" s="67"/>
      <c r="AA132" s="66" t="s">
        <v>2794</v>
      </c>
    </row>
    <row r="133" spans="1:27" s="78" customFormat="1" ht="70">
      <c r="A133" s="13" t="s">
        <v>2559</v>
      </c>
      <c r="B133" s="16" t="s">
        <v>11</v>
      </c>
      <c r="C133" s="12">
        <v>132</v>
      </c>
      <c r="D133" s="33" t="s">
        <v>1428</v>
      </c>
      <c r="E133" s="15" t="s">
        <v>1429</v>
      </c>
      <c r="F133" s="12" t="s">
        <v>58</v>
      </c>
      <c r="G133" s="13" t="s">
        <v>188</v>
      </c>
      <c r="H133" s="12" t="s">
        <v>1132</v>
      </c>
      <c r="I133" s="33" t="s">
        <v>193</v>
      </c>
      <c r="J133" s="12">
        <v>2009</v>
      </c>
      <c r="K133" s="13">
        <v>2012</v>
      </c>
      <c r="L133" s="13" t="s">
        <v>65</v>
      </c>
      <c r="M133" s="15" t="s">
        <v>2101</v>
      </c>
      <c r="N133" s="15" t="s">
        <v>2159</v>
      </c>
      <c r="O133" s="16" t="s">
        <v>604</v>
      </c>
      <c r="P133" s="16" t="s">
        <v>538</v>
      </c>
      <c r="Q133" s="15" t="s">
        <v>859</v>
      </c>
      <c r="R133" s="15" t="s">
        <v>93</v>
      </c>
      <c r="S133" s="28" t="s">
        <v>2631</v>
      </c>
      <c r="T133" s="12">
        <v>0</v>
      </c>
      <c r="U133" s="12"/>
      <c r="V133" s="17"/>
      <c r="W133" s="38"/>
      <c r="X133" s="12"/>
      <c r="Y133" s="17"/>
      <c r="Z133" s="67"/>
      <c r="AA133" s="66"/>
    </row>
    <row r="134" spans="1:27" s="78" customFormat="1" ht="70">
      <c r="A134" s="13" t="s">
        <v>2559</v>
      </c>
      <c r="B134" s="16" t="s">
        <v>11</v>
      </c>
      <c r="C134" s="12">
        <v>133</v>
      </c>
      <c r="D134" s="33" t="s">
        <v>1430</v>
      </c>
      <c r="E134" s="15" t="s">
        <v>1431</v>
      </c>
      <c r="F134" s="12" t="s">
        <v>58</v>
      </c>
      <c r="G134" s="13" t="s">
        <v>188</v>
      </c>
      <c r="H134" s="12" t="s">
        <v>1132</v>
      </c>
      <c r="I134" s="33" t="s">
        <v>194</v>
      </c>
      <c r="J134" s="12">
        <v>2009</v>
      </c>
      <c r="K134" s="13">
        <v>2012</v>
      </c>
      <c r="L134" s="13" t="s">
        <v>65</v>
      </c>
      <c r="M134" s="15" t="s">
        <v>2101</v>
      </c>
      <c r="N134" s="15" t="s">
        <v>2159</v>
      </c>
      <c r="O134" s="16" t="s">
        <v>604</v>
      </c>
      <c r="P134" s="16" t="s">
        <v>538</v>
      </c>
      <c r="Q134" s="15" t="s">
        <v>859</v>
      </c>
      <c r="R134" s="15" t="s">
        <v>93</v>
      </c>
      <c r="S134" s="28" t="s">
        <v>2631</v>
      </c>
      <c r="T134" s="12">
        <v>0</v>
      </c>
      <c r="U134" s="12"/>
      <c r="V134" s="17"/>
      <c r="W134" s="38"/>
      <c r="X134" s="12"/>
      <c r="Y134" s="17"/>
      <c r="Z134" s="67"/>
      <c r="AA134" s="66" t="s">
        <v>2794</v>
      </c>
    </row>
    <row r="135" spans="1:27" s="78" customFormat="1" ht="122.5">
      <c r="A135" s="13" t="s">
        <v>2559</v>
      </c>
      <c r="B135" s="16" t="s">
        <v>11</v>
      </c>
      <c r="C135" s="12">
        <v>134</v>
      </c>
      <c r="D135" s="33" t="s">
        <v>1432</v>
      </c>
      <c r="E135" s="15" t="s">
        <v>1433</v>
      </c>
      <c r="F135" s="12" t="s">
        <v>58</v>
      </c>
      <c r="G135" s="13" t="s">
        <v>188</v>
      </c>
      <c r="H135" s="12" t="s">
        <v>1132</v>
      </c>
      <c r="I135" s="33" t="s">
        <v>195</v>
      </c>
      <c r="J135" s="12">
        <v>2009</v>
      </c>
      <c r="K135" s="13">
        <v>2012</v>
      </c>
      <c r="L135" s="13" t="s">
        <v>65</v>
      </c>
      <c r="M135" s="15" t="s">
        <v>2101</v>
      </c>
      <c r="N135" s="15" t="s">
        <v>2159</v>
      </c>
      <c r="O135" s="16" t="s">
        <v>604</v>
      </c>
      <c r="P135" s="16" t="s">
        <v>538</v>
      </c>
      <c r="Q135" s="15" t="s">
        <v>859</v>
      </c>
      <c r="R135" s="15" t="s">
        <v>93</v>
      </c>
      <c r="S135" s="28" t="s">
        <v>2631</v>
      </c>
      <c r="T135" s="12">
        <v>0</v>
      </c>
      <c r="U135" s="12"/>
      <c r="V135" s="17"/>
      <c r="W135" s="38"/>
      <c r="X135" s="12"/>
      <c r="Y135" s="17"/>
      <c r="Z135" s="67"/>
      <c r="AA135" s="66" t="s">
        <v>2794</v>
      </c>
    </row>
    <row r="136" spans="1:27" s="78" customFormat="1" ht="35">
      <c r="A136" s="13" t="s">
        <v>2559</v>
      </c>
      <c r="B136" s="16" t="s">
        <v>11</v>
      </c>
      <c r="C136" s="12">
        <v>135</v>
      </c>
      <c r="D136" s="33" t="s">
        <v>1426</v>
      </c>
      <c r="E136" s="15" t="s">
        <v>1427</v>
      </c>
      <c r="F136" s="12" t="s">
        <v>58</v>
      </c>
      <c r="G136" s="13" t="s">
        <v>191</v>
      </c>
      <c r="H136" s="12" t="s">
        <v>1132</v>
      </c>
      <c r="I136" s="33" t="s">
        <v>192</v>
      </c>
      <c r="J136" s="12">
        <v>2009</v>
      </c>
      <c r="K136" s="13">
        <v>2012</v>
      </c>
      <c r="L136" s="13" t="s">
        <v>65</v>
      </c>
      <c r="M136" s="15" t="s">
        <v>2101</v>
      </c>
      <c r="N136" s="12"/>
      <c r="O136" s="16" t="s">
        <v>604</v>
      </c>
      <c r="P136" s="16" t="s">
        <v>538</v>
      </c>
      <c r="Q136" s="15" t="s">
        <v>859</v>
      </c>
      <c r="R136" s="15" t="s">
        <v>93</v>
      </c>
      <c r="S136" s="28" t="s">
        <v>2631</v>
      </c>
      <c r="T136" s="12">
        <v>0</v>
      </c>
      <c r="U136" s="12"/>
      <c r="V136" s="17"/>
      <c r="W136" s="38"/>
      <c r="X136" s="12"/>
      <c r="Y136" s="17"/>
      <c r="Z136" s="67"/>
      <c r="AA136" s="169" t="s">
        <v>2794</v>
      </c>
    </row>
    <row r="137" spans="1:27" s="78" customFormat="1" ht="70">
      <c r="A137" s="13" t="s">
        <v>2559</v>
      </c>
      <c r="B137" s="16" t="s">
        <v>11</v>
      </c>
      <c r="C137" s="12">
        <v>136</v>
      </c>
      <c r="D137" s="33" t="s">
        <v>1424</v>
      </c>
      <c r="E137" s="15" t="s">
        <v>1425</v>
      </c>
      <c r="F137" s="12" t="s">
        <v>58</v>
      </c>
      <c r="G137" s="13" t="s">
        <v>188</v>
      </c>
      <c r="H137" s="12" t="s">
        <v>1132</v>
      </c>
      <c r="I137" s="33" t="s">
        <v>190</v>
      </c>
      <c r="J137" s="12">
        <v>2010</v>
      </c>
      <c r="K137" s="13">
        <v>2013</v>
      </c>
      <c r="L137" s="13" t="s">
        <v>65</v>
      </c>
      <c r="M137" s="15" t="s">
        <v>2101</v>
      </c>
      <c r="N137" s="15" t="s">
        <v>2159</v>
      </c>
      <c r="O137" s="16" t="s">
        <v>604</v>
      </c>
      <c r="P137" s="16" t="s">
        <v>538</v>
      </c>
      <c r="Q137" s="15" t="s">
        <v>859</v>
      </c>
      <c r="R137" s="15" t="s">
        <v>93</v>
      </c>
      <c r="S137" s="28" t="s">
        <v>2631</v>
      </c>
      <c r="T137" s="12">
        <v>0</v>
      </c>
      <c r="U137" s="12"/>
      <c r="V137" s="17"/>
      <c r="W137" s="38"/>
      <c r="X137" s="12"/>
      <c r="Y137" s="17"/>
      <c r="Z137" s="67"/>
      <c r="AA137" s="66"/>
    </row>
    <row r="138" spans="1:27" s="78" customFormat="1" ht="105">
      <c r="A138" s="13" t="s">
        <v>2559</v>
      </c>
      <c r="B138" s="16" t="s">
        <v>11</v>
      </c>
      <c r="C138" s="12">
        <v>137</v>
      </c>
      <c r="D138" s="33" t="s">
        <v>1420</v>
      </c>
      <c r="E138" s="15" t="s">
        <v>1421</v>
      </c>
      <c r="F138" s="12" t="s">
        <v>403</v>
      </c>
      <c r="G138" s="13" t="s">
        <v>185</v>
      </c>
      <c r="H138" s="12" t="s">
        <v>1132</v>
      </c>
      <c r="I138" s="33" t="s">
        <v>186</v>
      </c>
      <c r="J138" s="12">
        <v>2012</v>
      </c>
      <c r="K138" s="16">
        <v>2016</v>
      </c>
      <c r="L138" s="13" t="s">
        <v>65</v>
      </c>
      <c r="M138" s="15" t="s">
        <v>2169</v>
      </c>
      <c r="N138" s="12"/>
      <c r="O138" s="16" t="s">
        <v>604</v>
      </c>
      <c r="P138" s="16" t="s">
        <v>187</v>
      </c>
      <c r="Q138" s="15" t="s">
        <v>859</v>
      </c>
      <c r="R138" s="15" t="s">
        <v>93</v>
      </c>
      <c r="S138" s="28" t="s">
        <v>2631</v>
      </c>
      <c r="T138" s="12">
        <v>0</v>
      </c>
      <c r="U138" s="12"/>
      <c r="V138" s="17"/>
      <c r="W138" s="38"/>
      <c r="X138" s="12"/>
      <c r="Y138" s="17"/>
      <c r="Z138" s="67"/>
      <c r="AA138" s="169" t="s">
        <v>2794</v>
      </c>
    </row>
    <row r="139" spans="1:27" s="78" customFormat="1" ht="70">
      <c r="A139" s="13" t="s">
        <v>2559</v>
      </c>
      <c r="B139" s="16" t="s">
        <v>11</v>
      </c>
      <c r="C139" s="12">
        <v>138</v>
      </c>
      <c r="D139" s="33" t="s">
        <v>1422</v>
      </c>
      <c r="E139" s="15" t="s">
        <v>1423</v>
      </c>
      <c r="F139" s="12" t="s">
        <v>58</v>
      </c>
      <c r="G139" s="13" t="s">
        <v>188</v>
      </c>
      <c r="H139" s="12" t="s">
        <v>1132</v>
      </c>
      <c r="I139" s="33" t="s">
        <v>189</v>
      </c>
      <c r="J139" s="12">
        <v>2012</v>
      </c>
      <c r="K139" s="13">
        <v>2015</v>
      </c>
      <c r="L139" s="13" t="s">
        <v>65</v>
      </c>
      <c r="M139" s="15" t="s">
        <v>2101</v>
      </c>
      <c r="N139" s="15" t="s">
        <v>2159</v>
      </c>
      <c r="O139" s="16" t="s">
        <v>604</v>
      </c>
      <c r="P139" s="16" t="s">
        <v>538</v>
      </c>
      <c r="Q139" s="15" t="s">
        <v>859</v>
      </c>
      <c r="R139" s="15" t="s">
        <v>93</v>
      </c>
      <c r="S139" s="28" t="s">
        <v>2631</v>
      </c>
      <c r="T139" s="12">
        <v>0</v>
      </c>
      <c r="U139" s="12"/>
      <c r="V139" s="17"/>
      <c r="W139" s="38"/>
      <c r="X139" s="12"/>
      <c r="Y139" s="17"/>
      <c r="Z139" s="67"/>
      <c r="AA139" s="56"/>
    </row>
    <row r="140" spans="1:27" s="78" customFormat="1" ht="70">
      <c r="A140" s="13" t="s">
        <v>2559</v>
      </c>
      <c r="B140" s="13" t="s">
        <v>11</v>
      </c>
      <c r="C140" s="12">
        <v>139</v>
      </c>
      <c r="D140" s="38" t="s">
        <v>1215</v>
      </c>
      <c r="E140" s="15" t="s">
        <v>1216</v>
      </c>
      <c r="F140" s="12" t="s">
        <v>58</v>
      </c>
      <c r="G140" s="12" t="s">
        <v>202</v>
      </c>
      <c r="H140" s="12" t="s">
        <v>1132</v>
      </c>
      <c r="I140" s="91" t="s">
        <v>203</v>
      </c>
      <c r="J140" s="12">
        <v>2019</v>
      </c>
      <c r="K140" s="12">
        <v>2022</v>
      </c>
      <c r="L140" s="16" t="s">
        <v>65</v>
      </c>
      <c r="M140" s="16" t="s">
        <v>2101</v>
      </c>
      <c r="N140" s="91" t="s">
        <v>201</v>
      </c>
      <c r="O140" s="16" t="s">
        <v>204</v>
      </c>
      <c r="P140" s="12" t="s">
        <v>57</v>
      </c>
      <c r="Q140" s="16" t="s">
        <v>859</v>
      </c>
      <c r="R140" s="15" t="s">
        <v>93</v>
      </c>
      <c r="S140" s="28" t="s">
        <v>2631</v>
      </c>
      <c r="T140" s="12">
        <v>0</v>
      </c>
      <c r="U140" s="12"/>
      <c r="V140" s="17"/>
      <c r="W140" s="38"/>
      <c r="X140" s="12"/>
      <c r="Y140" s="17"/>
      <c r="Z140" s="83"/>
      <c r="AA140" s="66"/>
    </row>
    <row r="141" spans="1:27" s="78" customFormat="1" ht="87.5">
      <c r="A141" s="13" t="s">
        <v>2559</v>
      </c>
      <c r="B141" s="13" t="s">
        <v>11</v>
      </c>
      <c r="C141" s="12">
        <v>140</v>
      </c>
      <c r="D141" s="38" t="s">
        <v>1223</v>
      </c>
      <c r="E141" s="15" t="s">
        <v>1222</v>
      </c>
      <c r="F141" s="12" t="s">
        <v>58</v>
      </c>
      <c r="G141" s="12" t="s">
        <v>153</v>
      </c>
      <c r="H141" s="12" t="s">
        <v>1132</v>
      </c>
      <c r="I141" s="91" t="s">
        <v>205</v>
      </c>
      <c r="J141" s="12">
        <v>2019</v>
      </c>
      <c r="K141" s="12">
        <v>2021</v>
      </c>
      <c r="L141" s="15" t="s">
        <v>65</v>
      </c>
      <c r="M141" s="16" t="s">
        <v>2101</v>
      </c>
      <c r="N141" s="15" t="s">
        <v>201</v>
      </c>
      <c r="O141" s="16" t="s">
        <v>204</v>
      </c>
      <c r="P141" s="12" t="s">
        <v>57</v>
      </c>
      <c r="Q141" s="16" t="s">
        <v>859</v>
      </c>
      <c r="R141" s="16" t="s">
        <v>93</v>
      </c>
      <c r="S141" s="28" t="s">
        <v>2631</v>
      </c>
      <c r="T141" s="12">
        <v>0</v>
      </c>
      <c r="U141" s="12"/>
      <c r="V141" s="17"/>
      <c r="W141" s="38"/>
      <c r="X141" s="12"/>
      <c r="Y141" s="17"/>
      <c r="Z141" s="83"/>
      <c r="AA141" s="66"/>
    </row>
    <row r="142" spans="1:27" s="78" customFormat="1" ht="105">
      <c r="A142" s="13" t="s">
        <v>2559</v>
      </c>
      <c r="B142" s="13" t="s">
        <v>11</v>
      </c>
      <c r="C142" s="12">
        <v>141</v>
      </c>
      <c r="D142" s="38" t="s">
        <v>1214</v>
      </c>
      <c r="E142" s="15" t="s">
        <v>1213</v>
      </c>
      <c r="F142" s="12" t="s">
        <v>58</v>
      </c>
      <c r="G142" s="12" t="s">
        <v>153</v>
      </c>
      <c r="H142" s="12" t="s">
        <v>1132</v>
      </c>
      <c r="I142" s="94" t="s">
        <v>200</v>
      </c>
      <c r="J142" s="12">
        <v>2022</v>
      </c>
      <c r="K142" s="12">
        <v>2023</v>
      </c>
      <c r="L142" s="16" t="s">
        <v>65</v>
      </c>
      <c r="M142" s="16" t="s">
        <v>2101</v>
      </c>
      <c r="N142" s="15" t="s">
        <v>201</v>
      </c>
      <c r="O142" s="16" t="s">
        <v>59</v>
      </c>
      <c r="P142" s="12" t="s">
        <v>57</v>
      </c>
      <c r="Q142" s="16" t="s">
        <v>859</v>
      </c>
      <c r="R142" s="15" t="s">
        <v>93</v>
      </c>
      <c r="S142" s="28" t="s">
        <v>2631</v>
      </c>
      <c r="T142" s="12">
        <v>0</v>
      </c>
      <c r="U142" s="12"/>
      <c r="V142" s="17"/>
      <c r="W142" s="38"/>
      <c r="X142" s="12"/>
      <c r="Y142" s="17"/>
      <c r="Z142" s="83"/>
      <c r="AA142" s="66"/>
    </row>
    <row r="143" spans="1:27" s="78" customFormat="1" ht="122.5">
      <c r="A143" s="13" t="s">
        <v>2559</v>
      </c>
      <c r="B143" s="13" t="s">
        <v>11</v>
      </c>
      <c r="C143" s="12">
        <v>142</v>
      </c>
      <c r="D143" s="33" t="s">
        <v>1218</v>
      </c>
      <c r="E143" s="15" t="s">
        <v>1217</v>
      </c>
      <c r="F143" s="12" t="s">
        <v>162</v>
      </c>
      <c r="G143" s="12" t="s">
        <v>1219</v>
      </c>
      <c r="H143" s="12" t="s">
        <v>1132</v>
      </c>
      <c r="I143" s="91" t="s">
        <v>1220</v>
      </c>
      <c r="J143" s="12">
        <v>2019</v>
      </c>
      <c r="K143" s="12">
        <v>2022</v>
      </c>
      <c r="L143" s="16" t="s">
        <v>1221</v>
      </c>
      <c r="M143" s="16" t="s">
        <v>2100</v>
      </c>
      <c r="N143" s="12"/>
      <c r="O143" s="15" t="s">
        <v>763</v>
      </c>
      <c r="P143" s="12" t="s">
        <v>538</v>
      </c>
      <c r="Q143" s="16" t="s">
        <v>859</v>
      </c>
      <c r="R143" s="15" t="s">
        <v>93</v>
      </c>
      <c r="S143" s="28" t="s">
        <v>2631</v>
      </c>
      <c r="T143" s="12">
        <v>0</v>
      </c>
      <c r="U143" s="12"/>
      <c r="V143" s="17"/>
      <c r="W143" s="38"/>
      <c r="X143" s="12"/>
      <c r="Y143" s="17"/>
      <c r="Z143" s="83"/>
      <c r="AA143" s="169" t="s">
        <v>2794</v>
      </c>
    </row>
    <row r="144" spans="1:27" s="78" customFormat="1" ht="52.5">
      <c r="A144" s="13" t="s">
        <v>2559</v>
      </c>
      <c r="B144" s="13" t="s">
        <v>11</v>
      </c>
      <c r="C144" s="12">
        <v>143</v>
      </c>
      <c r="D144" s="33" t="s">
        <v>1365</v>
      </c>
      <c r="E144" s="15" t="s">
        <v>1366</v>
      </c>
      <c r="F144" s="12" t="s">
        <v>58</v>
      </c>
      <c r="G144" s="13" t="s">
        <v>3174</v>
      </c>
      <c r="H144" s="12" t="s">
        <v>1132</v>
      </c>
      <c r="I144" s="43" t="s">
        <v>108</v>
      </c>
      <c r="J144" s="12">
        <v>2010</v>
      </c>
      <c r="K144" s="13">
        <v>2012</v>
      </c>
      <c r="L144" s="17" t="s">
        <v>109</v>
      </c>
      <c r="M144" s="15"/>
      <c r="N144" s="12"/>
      <c r="O144" s="16" t="s">
        <v>59</v>
      </c>
      <c r="P144" s="30" t="s">
        <v>538</v>
      </c>
      <c r="Q144" s="16" t="s">
        <v>891</v>
      </c>
      <c r="R144" s="15" t="s">
        <v>93</v>
      </c>
      <c r="S144" s="28" t="s">
        <v>2631</v>
      </c>
      <c r="T144" s="12">
        <v>0</v>
      </c>
      <c r="U144" s="12"/>
      <c r="V144" s="17"/>
      <c r="W144" s="38"/>
      <c r="X144" s="12"/>
      <c r="Y144" s="17"/>
      <c r="Z144" s="67"/>
      <c r="AA144" s="169" t="s">
        <v>2794</v>
      </c>
    </row>
    <row r="145" spans="1:27" s="78" customFormat="1" ht="52.5">
      <c r="A145" s="13" t="s">
        <v>2559</v>
      </c>
      <c r="B145" s="13" t="s">
        <v>11</v>
      </c>
      <c r="C145" s="12">
        <v>144</v>
      </c>
      <c r="D145" s="33" t="s">
        <v>1377</v>
      </c>
      <c r="E145" s="15" t="s">
        <v>1378</v>
      </c>
      <c r="F145" s="12" t="s">
        <v>58</v>
      </c>
      <c r="G145" s="17" t="s">
        <v>3156</v>
      </c>
      <c r="H145" s="12" t="s">
        <v>1132</v>
      </c>
      <c r="I145" s="43" t="s">
        <v>116</v>
      </c>
      <c r="J145" s="12">
        <v>2014</v>
      </c>
      <c r="K145" s="13">
        <v>2019</v>
      </c>
      <c r="L145" s="17" t="s">
        <v>109</v>
      </c>
      <c r="M145" s="15"/>
      <c r="N145" s="15" t="s">
        <v>2162</v>
      </c>
      <c r="O145" s="16" t="s">
        <v>59</v>
      </c>
      <c r="P145" s="16" t="s">
        <v>10</v>
      </c>
      <c r="Q145" s="16" t="s">
        <v>891</v>
      </c>
      <c r="R145" s="15" t="s">
        <v>93</v>
      </c>
      <c r="S145" s="28" t="s">
        <v>2631</v>
      </c>
      <c r="T145" s="12">
        <v>0</v>
      </c>
      <c r="U145" s="12"/>
      <c r="V145" s="17"/>
      <c r="W145" s="38"/>
      <c r="X145" s="12"/>
      <c r="Y145" s="17"/>
      <c r="Z145" s="67"/>
      <c r="AA145" s="66"/>
    </row>
    <row r="146" spans="1:27" s="78" customFormat="1" ht="70">
      <c r="A146" s="13" t="s">
        <v>2559</v>
      </c>
      <c r="B146" s="13" t="s">
        <v>11</v>
      </c>
      <c r="C146" s="12">
        <v>145</v>
      </c>
      <c r="D146" s="33" t="s">
        <v>1367</v>
      </c>
      <c r="E146" s="15" t="s">
        <v>1368</v>
      </c>
      <c r="F146" s="12" t="s">
        <v>58</v>
      </c>
      <c r="G146" s="17" t="s">
        <v>3156</v>
      </c>
      <c r="H146" s="12" t="s">
        <v>1132</v>
      </c>
      <c r="I146" s="43" t="s">
        <v>110</v>
      </c>
      <c r="J146" s="12">
        <v>2014</v>
      </c>
      <c r="K146" s="13">
        <v>2016</v>
      </c>
      <c r="L146" s="17" t="s">
        <v>109</v>
      </c>
      <c r="M146" s="15"/>
      <c r="N146" s="15" t="s">
        <v>2162</v>
      </c>
      <c r="O146" s="16" t="s">
        <v>59</v>
      </c>
      <c r="P146" s="16" t="s">
        <v>10</v>
      </c>
      <c r="Q146" s="16" t="s">
        <v>891</v>
      </c>
      <c r="R146" s="15" t="s">
        <v>93</v>
      </c>
      <c r="S146" s="28" t="s">
        <v>2629</v>
      </c>
      <c r="T146" s="12">
        <v>1</v>
      </c>
      <c r="U146" s="12" t="s">
        <v>2964</v>
      </c>
      <c r="V146" s="17" t="s">
        <v>3000</v>
      </c>
      <c r="W146" s="38" t="s">
        <v>1596</v>
      </c>
      <c r="X146" s="12" t="s">
        <v>1595</v>
      </c>
      <c r="Y146" s="17" t="s">
        <v>111</v>
      </c>
      <c r="Z146" s="67"/>
      <c r="AA146" s="66"/>
    </row>
    <row r="147" spans="1:27" s="78" customFormat="1" ht="52.5">
      <c r="A147" s="13" t="s">
        <v>2559</v>
      </c>
      <c r="B147" s="13" t="s">
        <v>11</v>
      </c>
      <c r="C147" s="12">
        <v>146</v>
      </c>
      <c r="D147" s="33" t="s">
        <v>1375</v>
      </c>
      <c r="E147" s="15" t="s">
        <v>1376</v>
      </c>
      <c r="F147" s="12" t="s">
        <v>58</v>
      </c>
      <c r="G147" s="13" t="s">
        <v>3175</v>
      </c>
      <c r="H147" s="12" t="s">
        <v>1132</v>
      </c>
      <c r="I147" s="43" t="s">
        <v>115</v>
      </c>
      <c r="J147" s="12">
        <v>2015</v>
      </c>
      <c r="K147" s="13">
        <v>2018</v>
      </c>
      <c r="L147" s="17" t="s">
        <v>109</v>
      </c>
      <c r="M147" s="15"/>
      <c r="N147" s="12"/>
      <c r="O147" s="16" t="s">
        <v>59</v>
      </c>
      <c r="P147" s="16" t="s">
        <v>10</v>
      </c>
      <c r="Q147" s="16" t="s">
        <v>891</v>
      </c>
      <c r="R147" s="15" t="s">
        <v>93</v>
      </c>
      <c r="S147" s="28" t="s">
        <v>2631</v>
      </c>
      <c r="T147" s="12">
        <v>0</v>
      </c>
      <c r="U147" s="12"/>
      <c r="V147" s="17"/>
      <c r="W147" s="38"/>
      <c r="X147" s="12"/>
      <c r="Y147" s="17"/>
      <c r="Z147" s="67"/>
      <c r="AA147" s="169" t="s">
        <v>2794</v>
      </c>
    </row>
    <row r="148" spans="1:27" s="78" customFormat="1" ht="70">
      <c r="A148" s="13" t="s">
        <v>2559</v>
      </c>
      <c r="B148" s="13" t="s">
        <v>11</v>
      </c>
      <c r="C148" s="12">
        <v>147</v>
      </c>
      <c r="D148" s="33" t="s">
        <v>1369</v>
      </c>
      <c r="E148" s="15" t="s">
        <v>1370</v>
      </c>
      <c r="F148" s="12" t="s">
        <v>58</v>
      </c>
      <c r="G148" s="13" t="s">
        <v>3174</v>
      </c>
      <c r="H148" s="12" t="s">
        <v>1132</v>
      </c>
      <c r="I148" s="43" t="s">
        <v>112</v>
      </c>
      <c r="J148" s="12">
        <v>2016</v>
      </c>
      <c r="K148" s="13">
        <v>2018</v>
      </c>
      <c r="L148" s="17" t="s">
        <v>109</v>
      </c>
      <c r="M148" s="15"/>
      <c r="N148" s="12"/>
      <c r="O148" s="16" t="s">
        <v>59</v>
      </c>
      <c r="P148" s="16" t="s">
        <v>10</v>
      </c>
      <c r="Q148" s="16" t="s">
        <v>891</v>
      </c>
      <c r="R148" s="15" t="s">
        <v>93</v>
      </c>
      <c r="S148" s="28" t="s">
        <v>2631</v>
      </c>
      <c r="T148" s="12">
        <v>0</v>
      </c>
      <c r="U148" s="12"/>
      <c r="V148" s="17"/>
      <c r="W148" s="38"/>
      <c r="X148" s="12"/>
      <c r="Y148" s="17"/>
      <c r="Z148" s="67"/>
      <c r="AA148" s="169" t="s">
        <v>2794</v>
      </c>
    </row>
    <row r="149" spans="1:27" s="78" customFormat="1" ht="52.5">
      <c r="A149" s="13" t="s">
        <v>2559</v>
      </c>
      <c r="B149" s="13" t="s">
        <v>11</v>
      </c>
      <c r="C149" s="12">
        <v>148</v>
      </c>
      <c r="D149" s="33" t="s">
        <v>1373</v>
      </c>
      <c r="E149" s="15" t="s">
        <v>1374</v>
      </c>
      <c r="F149" s="12" t="s">
        <v>58</v>
      </c>
      <c r="G149" s="17" t="s">
        <v>3156</v>
      </c>
      <c r="H149" s="12" t="s">
        <v>1132</v>
      </c>
      <c r="I149" s="43" t="s">
        <v>114</v>
      </c>
      <c r="J149" s="12">
        <v>2016</v>
      </c>
      <c r="K149" s="13">
        <v>2018</v>
      </c>
      <c r="L149" s="17" t="s">
        <v>109</v>
      </c>
      <c r="M149" s="15"/>
      <c r="N149" s="15" t="s">
        <v>2162</v>
      </c>
      <c r="O149" s="16" t="s">
        <v>59</v>
      </c>
      <c r="P149" s="16" t="s">
        <v>10</v>
      </c>
      <c r="Q149" s="16" t="s">
        <v>891</v>
      </c>
      <c r="R149" s="15" t="s">
        <v>93</v>
      </c>
      <c r="S149" s="28" t="s">
        <v>2631</v>
      </c>
      <c r="T149" s="12">
        <v>0</v>
      </c>
      <c r="U149" s="12"/>
      <c r="V149" s="17"/>
      <c r="W149" s="38"/>
      <c r="X149" s="12"/>
      <c r="Y149" s="17"/>
      <c r="Z149" s="67"/>
      <c r="AA149" s="66"/>
    </row>
    <row r="150" spans="1:27" s="78" customFormat="1" ht="70">
      <c r="A150" s="13" t="s">
        <v>2559</v>
      </c>
      <c r="B150" s="13" t="s">
        <v>11</v>
      </c>
      <c r="C150" s="12">
        <v>149</v>
      </c>
      <c r="D150" s="33" t="s">
        <v>1173</v>
      </c>
      <c r="E150" s="16" t="s">
        <v>1172</v>
      </c>
      <c r="F150" s="12" t="s">
        <v>403</v>
      </c>
      <c r="G150" s="13" t="s">
        <v>1174</v>
      </c>
      <c r="H150" s="12" t="s">
        <v>1132</v>
      </c>
      <c r="I150" s="91" t="s">
        <v>1175</v>
      </c>
      <c r="J150" s="12">
        <v>2018</v>
      </c>
      <c r="K150" s="12">
        <v>2021</v>
      </c>
      <c r="L150" s="16" t="s">
        <v>109</v>
      </c>
      <c r="M150" s="16" t="s">
        <v>2098</v>
      </c>
      <c r="N150" s="12"/>
      <c r="O150" s="15" t="s">
        <v>763</v>
      </c>
      <c r="P150" s="12" t="s">
        <v>538</v>
      </c>
      <c r="Q150" s="16" t="s">
        <v>859</v>
      </c>
      <c r="R150" s="16" t="s">
        <v>860</v>
      </c>
      <c r="S150" s="28" t="s">
        <v>2629</v>
      </c>
      <c r="T150" s="12">
        <v>1</v>
      </c>
      <c r="U150" s="12" t="s">
        <v>2965</v>
      </c>
      <c r="V150" s="17" t="s">
        <v>2967</v>
      </c>
      <c r="W150" s="38" t="s">
        <v>152</v>
      </c>
      <c r="X150" s="12" t="s">
        <v>1593</v>
      </c>
      <c r="Y150" s="17" t="s">
        <v>1176</v>
      </c>
      <c r="Z150" s="83"/>
      <c r="AA150" s="169"/>
    </row>
    <row r="151" spans="1:27" s="78" customFormat="1" ht="70">
      <c r="A151" s="13" t="s">
        <v>2559</v>
      </c>
      <c r="B151" s="13" t="s">
        <v>11</v>
      </c>
      <c r="C151" s="12">
        <v>150</v>
      </c>
      <c r="D151" s="33" t="s">
        <v>1165</v>
      </c>
      <c r="E151" s="15" t="s">
        <v>1164</v>
      </c>
      <c r="F151" s="12" t="s">
        <v>58</v>
      </c>
      <c r="G151" s="12" t="s">
        <v>148</v>
      </c>
      <c r="H151" s="12" t="s">
        <v>1132</v>
      </c>
      <c r="I151" s="91" t="s">
        <v>1167</v>
      </c>
      <c r="J151" s="12">
        <v>2018</v>
      </c>
      <c r="K151" s="12">
        <v>2020</v>
      </c>
      <c r="L151" s="16" t="s">
        <v>109</v>
      </c>
      <c r="M151" s="46" t="s">
        <v>149</v>
      </c>
      <c r="N151" s="15" t="s">
        <v>1166</v>
      </c>
      <c r="O151" s="16" t="s">
        <v>59</v>
      </c>
      <c r="P151" s="12" t="s">
        <v>57</v>
      </c>
      <c r="Q151" s="16" t="s">
        <v>859</v>
      </c>
      <c r="R151" s="16" t="s">
        <v>93</v>
      </c>
      <c r="S151" s="28" t="s">
        <v>2629</v>
      </c>
      <c r="T151" s="12">
        <v>1</v>
      </c>
      <c r="U151" s="12" t="s">
        <v>2965</v>
      </c>
      <c r="V151" s="17" t="s">
        <v>2968</v>
      </c>
      <c r="W151" s="38" t="s">
        <v>151</v>
      </c>
      <c r="X151" s="13" t="s">
        <v>2971</v>
      </c>
      <c r="Y151" s="17" t="s">
        <v>109</v>
      </c>
      <c r="Z151" s="83"/>
      <c r="AA151" s="66"/>
    </row>
    <row r="152" spans="1:27" s="78" customFormat="1" ht="70">
      <c r="A152" s="13" t="s">
        <v>2559</v>
      </c>
      <c r="B152" s="13" t="s">
        <v>11</v>
      </c>
      <c r="C152" s="12">
        <v>151</v>
      </c>
      <c r="D152" s="33" t="s">
        <v>1177</v>
      </c>
      <c r="E152" s="16" t="s">
        <v>1178</v>
      </c>
      <c r="F152" s="12" t="s">
        <v>403</v>
      </c>
      <c r="G152" s="13" t="s">
        <v>1174</v>
      </c>
      <c r="H152" s="12" t="s">
        <v>1132</v>
      </c>
      <c r="I152" s="91" t="s">
        <v>1179</v>
      </c>
      <c r="J152" s="12">
        <v>2020</v>
      </c>
      <c r="K152" s="12">
        <v>2022</v>
      </c>
      <c r="L152" s="16" t="s">
        <v>109</v>
      </c>
      <c r="M152" s="16" t="s">
        <v>2098</v>
      </c>
      <c r="N152" s="12"/>
      <c r="O152" s="16" t="s">
        <v>59</v>
      </c>
      <c r="P152" s="12" t="s">
        <v>57</v>
      </c>
      <c r="Q152" s="16" t="s">
        <v>859</v>
      </c>
      <c r="R152" s="16" t="s">
        <v>860</v>
      </c>
      <c r="S152" s="28" t="s">
        <v>2629</v>
      </c>
      <c r="T152" s="12">
        <v>1</v>
      </c>
      <c r="U152" s="12" t="s">
        <v>2965</v>
      </c>
      <c r="V152" s="17" t="s">
        <v>2967</v>
      </c>
      <c r="W152" s="38" t="s">
        <v>152</v>
      </c>
      <c r="X152" s="12" t="s">
        <v>1593</v>
      </c>
      <c r="Y152" s="17" t="s">
        <v>1176</v>
      </c>
      <c r="Z152" s="83"/>
      <c r="AA152" s="169"/>
    </row>
    <row r="153" spans="1:27" s="78" customFormat="1" ht="52.5">
      <c r="A153" s="13" t="s">
        <v>2559</v>
      </c>
      <c r="B153" s="13" t="s">
        <v>11</v>
      </c>
      <c r="C153" s="12">
        <v>152</v>
      </c>
      <c r="D153" s="38" t="s">
        <v>1185</v>
      </c>
      <c r="E153" s="15" t="s">
        <v>1184</v>
      </c>
      <c r="F153" s="12" t="s">
        <v>58</v>
      </c>
      <c r="G153" s="12" t="s">
        <v>153</v>
      </c>
      <c r="H153" s="12" t="s">
        <v>1132</v>
      </c>
      <c r="I153" s="91" t="s">
        <v>1186</v>
      </c>
      <c r="J153" s="12">
        <v>2022</v>
      </c>
      <c r="K153" s="12">
        <v>2023</v>
      </c>
      <c r="L153" s="16" t="s">
        <v>109</v>
      </c>
      <c r="M153" s="16" t="s">
        <v>2098</v>
      </c>
      <c r="N153" s="15" t="s">
        <v>201</v>
      </c>
      <c r="O153" s="16" t="s">
        <v>59</v>
      </c>
      <c r="P153" s="12" t="s">
        <v>57</v>
      </c>
      <c r="Q153" s="16" t="s">
        <v>859</v>
      </c>
      <c r="R153" s="15" t="s">
        <v>860</v>
      </c>
      <c r="S153" s="28" t="s">
        <v>2629</v>
      </c>
      <c r="T153" s="12">
        <v>1</v>
      </c>
      <c r="U153" s="12" t="s">
        <v>2966</v>
      </c>
      <c r="V153" s="17" t="s">
        <v>2969</v>
      </c>
      <c r="W153" s="38" t="s">
        <v>1187</v>
      </c>
      <c r="X153" s="12" t="s">
        <v>1593</v>
      </c>
      <c r="Y153" s="17" t="s">
        <v>109</v>
      </c>
      <c r="Z153" s="83"/>
      <c r="AA153" s="66"/>
    </row>
    <row r="154" spans="1:27" s="78" customFormat="1" ht="70">
      <c r="A154" s="13" t="s">
        <v>2559</v>
      </c>
      <c r="B154" s="13" t="s">
        <v>11</v>
      </c>
      <c r="C154" s="12">
        <v>153</v>
      </c>
      <c r="D154" s="38" t="s">
        <v>2106</v>
      </c>
      <c r="E154" s="15" t="s">
        <v>2107</v>
      </c>
      <c r="F154" s="12" t="s">
        <v>58</v>
      </c>
      <c r="G154" s="13" t="s">
        <v>153</v>
      </c>
      <c r="H154" s="12" t="s">
        <v>164</v>
      </c>
      <c r="I154" s="43" t="s">
        <v>2108</v>
      </c>
      <c r="J154" s="12">
        <v>2024</v>
      </c>
      <c r="K154" s="12">
        <v>2025</v>
      </c>
      <c r="L154" s="91" t="s">
        <v>109</v>
      </c>
      <c r="M154" s="15" t="s">
        <v>855</v>
      </c>
      <c r="N154" s="91" t="s">
        <v>201</v>
      </c>
      <c r="O154" s="16" t="s">
        <v>59</v>
      </c>
      <c r="P154" s="12" t="s">
        <v>57</v>
      </c>
      <c r="Q154" s="15" t="s">
        <v>864</v>
      </c>
      <c r="R154" s="15" t="s">
        <v>44</v>
      </c>
      <c r="S154" s="28" t="s">
        <v>2629</v>
      </c>
      <c r="T154" s="12">
        <v>1</v>
      </c>
      <c r="U154" s="12" t="s">
        <v>2966</v>
      </c>
      <c r="V154" s="17" t="s">
        <v>2109</v>
      </c>
      <c r="W154" s="38" t="s">
        <v>169</v>
      </c>
      <c r="X154" s="12" t="s">
        <v>2973</v>
      </c>
      <c r="Y154" s="17" t="s">
        <v>109</v>
      </c>
      <c r="Z154" s="67"/>
      <c r="AA154" s="66"/>
    </row>
    <row r="155" spans="1:27" s="78" customFormat="1" ht="52.5">
      <c r="A155" s="13" t="s">
        <v>2559</v>
      </c>
      <c r="B155" s="13" t="s">
        <v>11</v>
      </c>
      <c r="C155" s="12">
        <v>154</v>
      </c>
      <c r="D155" s="38" t="s">
        <v>867</v>
      </c>
      <c r="E155" s="15" t="s">
        <v>2124</v>
      </c>
      <c r="F155" s="12" t="s">
        <v>58</v>
      </c>
      <c r="G155" s="12" t="s">
        <v>148</v>
      </c>
      <c r="H155" s="12" t="s">
        <v>811</v>
      </c>
      <c r="I155" s="53" t="s">
        <v>174</v>
      </c>
      <c r="J155" s="12">
        <v>2020</v>
      </c>
      <c r="K155" s="12">
        <v>2024</v>
      </c>
      <c r="L155" s="91" t="s">
        <v>854</v>
      </c>
      <c r="M155" s="15" t="s">
        <v>855</v>
      </c>
      <c r="N155" s="53" t="s">
        <v>150</v>
      </c>
      <c r="O155" s="16" t="s">
        <v>59</v>
      </c>
      <c r="P155" s="12" t="s">
        <v>57</v>
      </c>
      <c r="Q155" s="46" t="s">
        <v>859</v>
      </c>
      <c r="R155" s="48" t="s">
        <v>93</v>
      </c>
      <c r="S155" s="28" t="s">
        <v>2631</v>
      </c>
      <c r="T155" s="12">
        <v>0</v>
      </c>
      <c r="U155" s="12"/>
      <c r="V155" s="17"/>
      <c r="W155" s="38"/>
      <c r="X155" s="12"/>
      <c r="Y155" s="17"/>
      <c r="Z155" s="67"/>
      <c r="AA155" s="66"/>
    </row>
    <row r="156" spans="1:27" s="78" customFormat="1" ht="52.5">
      <c r="A156" s="13" t="s">
        <v>2559</v>
      </c>
      <c r="B156" s="13" t="s">
        <v>11</v>
      </c>
      <c r="C156" s="12">
        <v>155</v>
      </c>
      <c r="D156" s="38" t="s">
        <v>868</v>
      </c>
      <c r="E156" s="15" t="s">
        <v>869</v>
      </c>
      <c r="F156" s="12" t="s">
        <v>162</v>
      </c>
      <c r="G156" s="12" t="s">
        <v>870</v>
      </c>
      <c r="H156" s="12" t="s">
        <v>164</v>
      </c>
      <c r="I156" s="53" t="s">
        <v>175</v>
      </c>
      <c r="J156" s="12">
        <v>2023</v>
      </c>
      <c r="K156" s="12">
        <v>2025</v>
      </c>
      <c r="L156" s="91" t="s">
        <v>854</v>
      </c>
      <c r="M156" s="15" t="s">
        <v>855</v>
      </c>
      <c r="N156" s="12"/>
      <c r="O156" s="15" t="s">
        <v>763</v>
      </c>
      <c r="P156" s="12" t="s">
        <v>538</v>
      </c>
      <c r="Q156" s="48" t="s">
        <v>859</v>
      </c>
      <c r="R156" s="48" t="s">
        <v>862</v>
      </c>
      <c r="S156" s="28" t="s">
        <v>2631</v>
      </c>
      <c r="T156" s="12">
        <v>0</v>
      </c>
      <c r="U156" s="12"/>
      <c r="V156" s="17"/>
      <c r="W156" s="38"/>
      <c r="X156" s="12"/>
      <c r="Y156" s="17"/>
      <c r="Z156" s="67"/>
      <c r="AA156" s="169"/>
    </row>
    <row r="157" spans="1:27" s="78" customFormat="1" ht="52.5">
      <c r="A157" s="13" t="s">
        <v>2559</v>
      </c>
      <c r="B157" s="13" t="s">
        <v>11</v>
      </c>
      <c r="C157" s="12">
        <v>156</v>
      </c>
      <c r="D157" s="38" t="s">
        <v>856</v>
      </c>
      <c r="E157" s="15" t="s">
        <v>857</v>
      </c>
      <c r="F157" s="12" t="s">
        <v>58</v>
      </c>
      <c r="G157" s="12" t="s">
        <v>148</v>
      </c>
      <c r="H157" s="12" t="s">
        <v>811</v>
      </c>
      <c r="I157" s="53" t="s">
        <v>172</v>
      </c>
      <c r="J157" s="12">
        <v>2023</v>
      </c>
      <c r="K157" s="12">
        <v>2024</v>
      </c>
      <c r="L157" s="15" t="s">
        <v>854</v>
      </c>
      <c r="M157" s="15" t="s">
        <v>855</v>
      </c>
      <c r="N157" s="16" t="s">
        <v>150</v>
      </c>
      <c r="O157" s="16" t="s">
        <v>59</v>
      </c>
      <c r="P157" s="12" t="s">
        <v>57</v>
      </c>
      <c r="Q157" s="46" t="s">
        <v>859</v>
      </c>
      <c r="R157" s="48" t="s">
        <v>93</v>
      </c>
      <c r="S157" s="28" t="s">
        <v>2629</v>
      </c>
      <c r="T157" s="12">
        <v>1</v>
      </c>
      <c r="U157" s="12" t="s">
        <v>2966</v>
      </c>
      <c r="V157" s="17" t="s">
        <v>2974</v>
      </c>
      <c r="W157" s="38" t="s">
        <v>2119</v>
      </c>
      <c r="X157" s="12" t="s">
        <v>2970</v>
      </c>
      <c r="Y157" s="17" t="s">
        <v>2120</v>
      </c>
      <c r="Z157" s="67"/>
      <c r="AA157" s="66" t="s">
        <v>2794</v>
      </c>
    </row>
    <row r="158" spans="1:27" s="78" customFormat="1" ht="70">
      <c r="A158" s="13" t="s">
        <v>2559</v>
      </c>
      <c r="B158" s="13" t="s">
        <v>11</v>
      </c>
      <c r="C158" s="12">
        <v>157</v>
      </c>
      <c r="D158" s="38" t="s">
        <v>865</v>
      </c>
      <c r="E158" s="15" t="s">
        <v>866</v>
      </c>
      <c r="F158" s="12" t="s">
        <v>58</v>
      </c>
      <c r="G158" s="12" t="s">
        <v>148</v>
      </c>
      <c r="H158" s="12" t="s">
        <v>164</v>
      </c>
      <c r="I158" s="53" t="s">
        <v>173</v>
      </c>
      <c r="J158" s="12">
        <v>2023</v>
      </c>
      <c r="K158" s="12">
        <v>2025</v>
      </c>
      <c r="L158" s="15" t="s">
        <v>854</v>
      </c>
      <c r="M158" s="15" t="s">
        <v>855</v>
      </c>
      <c r="N158" s="16" t="s">
        <v>150</v>
      </c>
      <c r="O158" s="16" t="s">
        <v>59</v>
      </c>
      <c r="P158" s="12" t="s">
        <v>57</v>
      </c>
      <c r="Q158" s="46" t="s">
        <v>859</v>
      </c>
      <c r="R158" s="48" t="s">
        <v>93</v>
      </c>
      <c r="S158" s="28" t="s">
        <v>2629</v>
      </c>
      <c r="T158" s="12">
        <v>1</v>
      </c>
      <c r="U158" s="12" t="s">
        <v>1781</v>
      </c>
      <c r="V158" s="17" t="s">
        <v>2121</v>
      </c>
      <c r="W158" s="38" t="s">
        <v>2122</v>
      </c>
      <c r="X158" s="12" t="s">
        <v>2970</v>
      </c>
      <c r="Y158" s="17" t="s">
        <v>2123</v>
      </c>
      <c r="Z158" s="67"/>
      <c r="AA158" s="66"/>
    </row>
    <row r="159" spans="1:27" s="78" customFormat="1" ht="52.5">
      <c r="A159" s="13" t="s">
        <v>2559</v>
      </c>
      <c r="B159" s="13" t="s">
        <v>11</v>
      </c>
      <c r="C159" s="12">
        <v>158</v>
      </c>
      <c r="D159" s="33" t="s">
        <v>1169</v>
      </c>
      <c r="E159" s="16" t="s">
        <v>1168</v>
      </c>
      <c r="F159" s="12" t="s">
        <v>58</v>
      </c>
      <c r="G159" s="12" t="s">
        <v>148</v>
      </c>
      <c r="H159" s="12" t="s">
        <v>1132</v>
      </c>
      <c r="I159" s="91" t="s">
        <v>1170</v>
      </c>
      <c r="J159" s="12">
        <v>2018</v>
      </c>
      <c r="K159" s="12">
        <v>2020</v>
      </c>
      <c r="L159" s="16" t="s">
        <v>1171</v>
      </c>
      <c r="M159" s="16" t="s">
        <v>2098</v>
      </c>
      <c r="N159" s="15" t="s">
        <v>1166</v>
      </c>
      <c r="O159" s="16" t="s">
        <v>59</v>
      </c>
      <c r="P159" s="12" t="s">
        <v>57</v>
      </c>
      <c r="Q159" s="16" t="s">
        <v>859</v>
      </c>
      <c r="R159" s="16" t="s">
        <v>93</v>
      </c>
      <c r="S159" s="28" t="s">
        <v>2631</v>
      </c>
      <c r="T159" s="12">
        <v>0</v>
      </c>
      <c r="U159" s="12"/>
      <c r="V159" s="17"/>
      <c r="W159" s="38"/>
      <c r="X159" s="12"/>
      <c r="Y159" s="17"/>
      <c r="Z159" s="83"/>
      <c r="AA159" s="66"/>
    </row>
    <row r="160" spans="1:27" s="78" customFormat="1" ht="70">
      <c r="A160" s="13" t="s">
        <v>2559</v>
      </c>
      <c r="B160" s="13" t="s">
        <v>11</v>
      </c>
      <c r="C160" s="12">
        <v>159</v>
      </c>
      <c r="D160" s="38" t="s">
        <v>2153</v>
      </c>
      <c r="E160" s="15" t="s">
        <v>2154</v>
      </c>
      <c r="F160" s="12" t="s">
        <v>2</v>
      </c>
      <c r="G160" s="12" t="s">
        <v>796</v>
      </c>
      <c r="H160" s="12" t="s">
        <v>164</v>
      </c>
      <c r="I160" s="119" t="s">
        <v>2155</v>
      </c>
      <c r="J160" s="12">
        <v>2024</v>
      </c>
      <c r="K160" s="12">
        <v>2026</v>
      </c>
      <c r="L160" s="16" t="s">
        <v>2202</v>
      </c>
      <c r="M160" s="15" t="s">
        <v>2156</v>
      </c>
      <c r="N160" s="15" t="s">
        <v>2157</v>
      </c>
      <c r="O160" s="16" t="s">
        <v>93</v>
      </c>
      <c r="P160" s="12"/>
      <c r="Q160" s="15" t="s">
        <v>859</v>
      </c>
      <c r="R160" s="15" t="s">
        <v>50</v>
      </c>
      <c r="S160" s="28" t="s">
        <v>2631</v>
      </c>
      <c r="T160" s="12">
        <v>0</v>
      </c>
      <c r="U160" s="12"/>
      <c r="V160" s="17"/>
      <c r="W160" s="38"/>
      <c r="X160" s="12"/>
      <c r="Y160" s="17"/>
      <c r="Z160" s="67"/>
      <c r="AA160" s="66"/>
    </row>
    <row r="161" spans="1:27" s="78" customFormat="1" ht="297.5">
      <c r="A161" s="13" t="s">
        <v>2559</v>
      </c>
      <c r="B161" s="13" t="s">
        <v>11</v>
      </c>
      <c r="C161" s="12">
        <v>160</v>
      </c>
      <c r="D161" s="38" t="s">
        <v>843</v>
      </c>
      <c r="E161" s="15" t="s">
        <v>2104</v>
      </c>
      <c r="F161" s="12" t="s">
        <v>58</v>
      </c>
      <c r="G161" s="12" t="s">
        <v>796</v>
      </c>
      <c r="H161" s="12" t="s">
        <v>1132</v>
      </c>
      <c r="I161" s="43" t="s">
        <v>100</v>
      </c>
      <c r="J161" s="12">
        <v>2022</v>
      </c>
      <c r="K161" s="12">
        <v>2023</v>
      </c>
      <c r="L161" s="15" t="s">
        <v>101</v>
      </c>
      <c r="M161" s="15" t="s">
        <v>3064</v>
      </c>
      <c r="N161" s="15" t="s">
        <v>2105</v>
      </c>
      <c r="O161" s="16" t="s">
        <v>59</v>
      </c>
      <c r="P161" s="12" t="s">
        <v>57</v>
      </c>
      <c r="Q161" s="15" t="s">
        <v>859</v>
      </c>
      <c r="R161" s="15" t="s">
        <v>50</v>
      </c>
      <c r="S161" s="28" t="s">
        <v>2631</v>
      </c>
      <c r="T161" s="12">
        <v>0</v>
      </c>
      <c r="U161" s="12"/>
      <c r="V161" s="17"/>
      <c r="W161" s="38"/>
      <c r="X161" s="12"/>
      <c r="Y161" s="17"/>
      <c r="Z161" s="67"/>
      <c r="AA161" s="66"/>
    </row>
    <row r="162" spans="1:27" s="78" customFormat="1" ht="52.5">
      <c r="A162" s="13" t="s">
        <v>2559</v>
      </c>
      <c r="B162" s="13" t="s">
        <v>11</v>
      </c>
      <c r="C162" s="12">
        <v>161</v>
      </c>
      <c r="D162" s="33" t="s">
        <v>1181</v>
      </c>
      <c r="E162" s="16" t="s">
        <v>1180</v>
      </c>
      <c r="F162" s="12" t="s">
        <v>58</v>
      </c>
      <c r="G162" s="12" t="s">
        <v>153</v>
      </c>
      <c r="H162" s="12" t="s">
        <v>1132</v>
      </c>
      <c r="I162" s="91" t="s">
        <v>1182</v>
      </c>
      <c r="J162" s="12">
        <v>2021</v>
      </c>
      <c r="K162" s="12">
        <v>2023</v>
      </c>
      <c r="L162" s="16" t="s">
        <v>154</v>
      </c>
      <c r="M162" s="16" t="s">
        <v>206</v>
      </c>
      <c r="N162" s="15" t="s">
        <v>201</v>
      </c>
      <c r="O162" s="16" t="s">
        <v>59</v>
      </c>
      <c r="P162" s="12" t="s">
        <v>57</v>
      </c>
      <c r="Q162" s="16" t="s">
        <v>859</v>
      </c>
      <c r="R162" s="15" t="s">
        <v>860</v>
      </c>
      <c r="S162" s="28" t="s">
        <v>2631</v>
      </c>
      <c r="T162" s="12">
        <v>0</v>
      </c>
      <c r="U162" s="12"/>
      <c r="V162" s="17"/>
      <c r="W162" s="38"/>
      <c r="X162" s="12"/>
      <c r="Y162" s="17"/>
      <c r="Z162" s="83"/>
      <c r="AA162" s="66"/>
    </row>
    <row r="163" spans="1:27" s="78" customFormat="1" ht="52.5">
      <c r="A163" s="13" t="s">
        <v>2559</v>
      </c>
      <c r="B163" s="13" t="s">
        <v>11</v>
      </c>
      <c r="C163" s="12">
        <v>162</v>
      </c>
      <c r="D163" s="33" t="s">
        <v>1189</v>
      </c>
      <c r="E163" s="15" t="s">
        <v>1188</v>
      </c>
      <c r="F163" s="12" t="s">
        <v>58</v>
      </c>
      <c r="G163" s="12" t="s">
        <v>153</v>
      </c>
      <c r="H163" s="12" t="s">
        <v>1132</v>
      </c>
      <c r="I163" s="91" t="s">
        <v>1190</v>
      </c>
      <c r="J163" s="12">
        <v>2022</v>
      </c>
      <c r="K163" s="12">
        <v>2023</v>
      </c>
      <c r="L163" s="16" t="s">
        <v>154</v>
      </c>
      <c r="M163" s="16" t="s">
        <v>206</v>
      </c>
      <c r="N163" s="15" t="s">
        <v>201</v>
      </c>
      <c r="O163" s="16" t="s">
        <v>59</v>
      </c>
      <c r="P163" s="12" t="s">
        <v>57</v>
      </c>
      <c r="Q163" s="16" t="s">
        <v>859</v>
      </c>
      <c r="R163" s="15" t="s">
        <v>860</v>
      </c>
      <c r="S163" s="28" t="s">
        <v>2629</v>
      </c>
      <c r="T163" s="12">
        <v>1</v>
      </c>
      <c r="U163" s="12" t="s">
        <v>1781</v>
      </c>
      <c r="V163" s="17" t="s">
        <v>207</v>
      </c>
      <c r="W163" s="38" t="s">
        <v>208</v>
      </c>
      <c r="X163" s="12" t="s">
        <v>2970</v>
      </c>
      <c r="Y163" s="17" t="s">
        <v>154</v>
      </c>
      <c r="Z163" s="83"/>
      <c r="AA163" s="66"/>
    </row>
    <row r="164" spans="1:27" s="78" customFormat="1" ht="52.5">
      <c r="A164" s="13" t="s">
        <v>2559</v>
      </c>
      <c r="B164" s="13" t="s">
        <v>11</v>
      </c>
      <c r="C164" s="12">
        <v>163</v>
      </c>
      <c r="D164" s="38" t="s">
        <v>880</v>
      </c>
      <c r="E164" s="15" t="s">
        <v>881</v>
      </c>
      <c r="F164" s="12" t="s">
        <v>224</v>
      </c>
      <c r="G164" s="12" t="s">
        <v>2125</v>
      </c>
      <c r="H164" s="12" t="s">
        <v>408</v>
      </c>
      <c r="I164" s="53" t="s">
        <v>213</v>
      </c>
      <c r="J164" s="12">
        <v>2023</v>
      </c>
      <c r="K164" s="12">
        <v>2028</v>
      </c>
      <c r="L164" s="15" t="s">
        <v>154</v>
      </c>
      <c r="M164" s="15" t="s">
        <v>206</v>
      </c>
      <c r="N164" s="12"/>
      <c r="O164" s="16" t="s">
        <v>59</v>
      </c>
      <c r="P164" s="13" t="s">
        <v>57</v>
      </c>
      <c r="Q164" s="16" t="s">
        <v>864</v>
      </c>
      <c r="R164" s="15" t="s">
        <v>44</v>
      </c>
      <c r="S164" s="28" t="s">
        <v>2629</v>
      </c>
      <c r="T164" s="12">
        <v>1</v>
      </c>
      <c r="U164" s="12" t="s">
        <v>1781</v>
      </c>
      <c r="V164" s="17" t="s">
        <v>2126</v>
      </c>
      <c r="W164" s="38" t="s">
        <v>882</v>
      </c>
      <c r="X164" s="12" t="s">
        <v>2970</v>
      </c>
      <c r="Y164" s="17" t="s">
        <v>154</v>
      </c>
      <c r="Z164" s="67"/>
      <c r="AA164" s="169"/>
    </row>
    <row r="165" spans="1:27" s="78" customFormat="1" ht="52.5">
      <c r="A165" s="13" t="s">
        <v>2559</v>
      </c>
      <c r="B165" s="13" t="s">
        <v>11</v>
      </c>
      <c r="C165" s="12">
        <v>164</v>
      </c>
      <c r="D165" s="38" t="s">
        <v>878</v>
      </c>
      <c r="E165" s="15" t="s">
        <v>879</v>
      </c>
      <c r="F165" s="12" t="s">
        <v>58</v>
      </c>
      <c r="G165" s="12" t="s">
        <v>148</v>
      </c>
      <c r="H165" s="12" t="s">
        <v>164</v>
      </c>
      <c r="I165" s="76" t="s">
        <v>209</v>
      </c>
      <c r="J165" s="12">
        <v>2023</v>
      </c>
      <c r="K165" s="12">
        <v>2026</v>
      </c>
      <c r="L165" s="15" t="s">
        <v>154</v>
      </c>
      <c r="M165" s="15" t="s">
        <v>206</v>
      </c>
      <c r="N165" s="12"/>
      <c r="O165" s="15" t="s">
        <v>765</v>
      </c>
      <c r="P165" s="12" t="s">
        <v>57</v>
      </c>
      <c r="Q165" s="15" t="s">
        <v>859</v>
      </c>
      <c r="R165" s="15" t="s">
        <v>860</v>
      </c>
      <c r="S165" s="28" t="s">
        <v>2629</v>
      </c>
      <c r="T165" s="12">
        <v>1</v>
      </c>
      <c r="U165" s="12" t="s">
        <v>1781</v>
      </c>
      <c r="V165" s="17" t="s">
        <v>211</v>
      </c>
      <c r="W165" s="38" t="s">
        <v>210</v>
      </c>
      <c r="X165" s="12" t="s">
        <v>2970</v>
      </c>
      <c r="Y165" s="17" t="s">
        <v>154</v>
      </c>
      <c r="Z165" s="67"/>
      <c r="AA165" s="169"/>
    </row>
    <row r="166" spans="1:27" s="78" customFormat="1" ht="52.5">
      <c r="A166" s="13" t="s">
        <v>2559</v>
      </c>
      <c r="B166" s="13" t="s">
        <v>11</v>
      </c>
      <c r="C166" s="12">
        <v>165</v>
      </c>
      <c r="D166" s="47" t="s">
        <v>2203</v>
      </c>
      <c r="E166" s="16" t="s">
        <v>2204</v>
      </c>
      <c r="F166" s="13" t="s">
        <v>224</v>
      </c>
      <c r="G166" s="13" t="s">
        <v>2205</v>
      </c>
      <c r="H166" s="13" t="s">
        <v>408</v>
      </c>
      <c r="I166" s="53" t="s">
        <v>2206</v>
      </c>
      <c r="J166" s="13">
        <v>2024</v>
      </c>
      <c r="K166" s="13">
        <v>2028</v>
      </c>
      <c r="L166" s="16" t="s">
        <v>154</v>
      </c>
      <c r="M166" s="16" t="s">
        <v>206</v>
      </c>
      <c r="N166" s="16"/>
      <c r="O166" s="16" t="s">
        <v>59</v>
      </c>
      <c r="P166" s="13" t="s">
        <v>57</v>
      </c>
      <c r="Q166" s="16" t="s">
        <v>864</v>
      </c>
      <c r="R166" s="16" t="s">
        <v>44</v>
      </c>
      <c r="S166" s="28" t="s">
        <v>2629</v>
      </c>
      <c r="T166" s="12">
        <v>1</v>
      </c>
      <c r="U166" s="12" t="s">
        <v>1781</v>
      </c>
      <c r="V166" s="17" t="s">
        <v>2126</v>
      </c>
      <c r="W166" s="38" t="s">
        <v>882</v>
      </c>
      <c r="X166" s="12" t="s">
        <v>2970</v>
      </c>
      <c r="Y166" s="17" t="s">
        <v>154</v>
      </c>
      <c r="Z166" s="59"/>
      <c r="AA166" s="169"/>
    </row>
    <row r="167" spans="1:27" s="78" customFormat="1" ht="105">
      <c r="A167" s="13" t="s">
        <v>2559</v>
      </c>
      <c r="B167" s="13" t="s">
        <v>11</v>
      </c>
      <c r="C167" s="12">
        <v>166</v>
      </c>
      <c r="D167" s="47" t="s">
        <v>1700</v>
      </c>
      <c r="E167" s="16" t="s">
        <v>2207</v>
      </c>
      <c r="F167" s="13" t="s">
        <v>162</v>
      </c>
      <c r="G167" s="13" t="s">
        <v>2208</v>
      </c>
      <c r="H167" s="13" t="s">
        <v>1132</v>
      </c>
      <c r="I167" s="53" t="s">
        <v>184</v>
      </c>
      <c r="J167" s="13">
        <v>2016</v>
      </c>
      <c r="K167" s="13">
        <v>2019</v>
      </c>
      <c r="L167" s="13" t="s">
        <v>183</v>
      </c>
      <c r="M167" s="16" t="s">
        <v>2209</v>
      </c>
      <c r="N167" s="16"/>
      <c r="O167" s="16" t="s">
        <v>59</v>
      </c>
      <c r="P167" s="13" t="s">
        <v>57</v>
      </c>
      <c r="Q167" s="16" t="s">
        <v>858</v>
      </c>
      <c r="R167" s="15" t="s">
        <v>39</v>
      </c>
      <c r="S167" s="28" t="s">
        <v>2631</v>
      </c>
      <c r="T167" s="12">
        <v>0</v>
      </c>
      <c r="U167" s="12"/>
      <c r="V167" s="17"/>
      <c r="W167" s="38"/>
      <c r="X167" s="12"/>
      <c r="Y167" s="17"/>
      <c r="Z167" s="59"/>
      <c r="AA167" s="169"/>
    </row>
    <row r="168" spans="1:27" s="78" customFormat="1" ht="87.5">
      <c r="A168" s="13" t="s">
        <v>2559</v>
      </c>
      <c r="B168" s="13" t="s">
        <v>11</v>
      </c>
      <c r="C168" s="12">
        <v>167</v>
      </c>
      <c r="D168" s="97" t="s">
        <v>1192</v>
      </c>
      <c r="E168" s="64" t="s">
        <v>1191</v>
      </c>
      <c r="F168" s="12" t="s">
        <v>162</v>
      </c>
      <c r="G168" s="91" t="s">
        <v>2621</v>
      </c>
      <c r="H168" s="12" t="s">
        <v>1132</v>
      </c>
      <c r="I168" s="91" t="s">
        <v>1193</v>
      </c>
      <c r="J168" s="12">
        <v>2018</v>
      </c>
      <c r="K168" s="12">
        <v>2021</v>
      </c>
      <c r="L168" s="53" t="s">
        <v>1194</v>
      </c>
      <c r="M168" s="53" t="s">
        <v>206</v>
      </c>
      <c r="N168" s="12"/>
      <c r="O168" s="15" t="s">
        <v>763</v>
      </c>
      <c r="P168" s="12" t="s">
        <v>538</v>
      </c>
      <c r="Q168" s="16" t="s">
        <v>858</v>
      </c>
      <c r="R168" s="15" t="s">
        <v>39</v>
      </c>
      <c r="S168" s="28" t="s">
        <v>2631</v>
      </c>
      <c r="T168" s="12">
        <v>0</v>
      </c>
      <c r="U168" s="12"/>
      <c r="V168" s="17"/>
      <c r="W168" s="38"/>
      <c r="X168" s="12"/>
      <c r="Y168" s="17"/>
      <c r="Z168" s="83"/>
      <c r="AA168" s="169"/>
    </row>
    <row r="169" spans="1:27" s="78" customFormat="1" ht="52.5">
      <c r="A169" s="13" t="s">
        <v>2559</v>
      </c>
      <c r="B169" s="13" t="s">
        <v>11</v>
      </c>
      <c r="C169" s="12">
        <v>168</v>
      </c>
      <c r="D169" s="33" t="s">
        <v>2127</v>
      </c>
      <c r="E169" s="16">
        <v>2888.7</v>
      </c>
      <c r="F169" s="13" t="s">
        <v>534</v>
      </c>
      <c r="G169" s="13">
        <v>2888</v>
      </c>
      <c r="H169" s="13" t="s">
        <v>408</v>
      </c>
      <c r="I169" s="53" t="s">
        <v>213</v>
      </c>
      <c r="J169" s="13">
        <v>2024</v>
      </c>
      <c r="K169" s="13">
        <v>2027</v>
      </c>
      <c r="L169" s="16" t="s">
        <v>2128</v>
      </c>
      <c r="M169" s="16"/>
      <c r="N169" s="16" t="s">
        <v>2129</v>
      </c>
      <c r="O169" s="16" t="s">
        <v>59</v>
      </c>
      <c r="P169" s="13" t="s">
        <v>57</v>
      </c>
      <c r="Q169" s="16" t="s">
        <v>864</v>
      </c>
      <c r="R169" s="16" t="s">
        <v>44</v>
      </c>
      <c r="S169" s="28" t="s">
        <v>2629</v>
      </c>
      <c r="T169" s="12">
        <v>1</v>
      </c>
      <c r="U169" s="12" t="s">
        <v>1781</v>
      </c>
      <c r="V169" s="17" t="s">
        <v>2130</v>
      </c>
      <c r="W169" s="38" t="s">
        <v>2131</v>
      </c>
      <c r="X169" s="12" t="s">
        <v>2970</v>
      </c>
      <c r="Y169" s="17" t="s">
        <v>154</v>
      </c>
      <c r="Z169" s="59"/>
      <c r="AA169" s="66"/>
    </row>
    <row r="170" spans="1:27" s="78" customFormat="1" ht="52.5">
      <c r="A170" s="13" t="s">
        <v>2559</v>
      </c>
      <c r="B170" s="13" t="s">
        <v>56</v>
      </c>
      <c r="C170" s="12">
        <v>169</v>
      </c>
      <c r="D170" s="33" t="s">
        <v>1487</v>
      </c>
      <c r="E170" s="15" t="s">
        <v>1681</v>
      </c>
      <c r="F170" s="12" t="s">
        <v>58</v>
      </c>
      <c r="G170" s="13" t="s">
        <v>262</v>
      </c>
      <c r="H170" s="12" t="s">
        <v>1132</v>
      </c>
      <c r="I170" s="43" t="s">
        <v>263</v>
      </c>
      <c r="J170" s="12">
        <v>2007</v>
      </c>
      <c r="K170" s="13">
        <v>2010</v>
      </c>
      <c r="L170" s="13" t="s">
        <v>261</v>
      </c>
      <c r="M170" s="15" t="s">
        <v>2058</v>
      </c>
      <c r="N170" s="12"/>
      <c r="O170" s="16" t="s">
        <v>59</v>
      </c>
      <c r="P170" s="16" t="s">
        <v>57</v>
      </c>
      <c r="Q170" s="15" t="s">
        <v>859</v>
      </c>
      <c r="R170" s="15" t="s">
        <v>860</v>
      </c>
      <c r="S170" s="28" t="s">
        <v>2631</v>
      </c>
      <c r="T170" s="12">
        <v>0</v>
      </c>
      <c r="U170" s="12"/>
      <c r="V170" s="17"/>
      <c r="W170" s="38"/>
      <c r="X170" s="12"/>
      <c r="Y170" s="17"/>
      <c r="Z170" s="67"/>
      <c r="AA170" s="169"/>
    </row>
    <row r="171" spans="1:27" s="78" customFormat="1" ht="52.5">
      <c r="A171" s="13" t="s">
        <v>2559</v>
      </c>
      <c r="B171" s="13" t="s">
        <v>56</v>
      </c>
      <c r="C171" s="12">
        <v>170</v>
      </c>
      <c r="D171" s="33" t="s">
        <v>1488</v>
      </c>
      <c r="E171" s="15" t="s">
        <v>2285</v>
      </c>
      <c r="F171" s="12" t="s">
        <v>58</v>
      </c>
      <c r="G171" s="13" t="s">
        <v>262</v>
      </c>
      <c r="H171" s="12" t="s">
        <v>1132</v>
      </c>
      <c r="I171" s="43" t="s">
        <v>266</v>
      </c>
      <c r="J171" s="12">
        <v>2008</v>
      </c>
      <c r="K171" s="13">
        <v>2011</v>
      </c>
      <c r="L171" s="13" t="s">
        <v>261</v>
      </c>
      <c r="M171" s="15" t="s">
        <v>2058</v>
      </c>
      <c r="N171" s="12"/>
      <c r="O171" s="16" t="s">
        <v>59</v>
      </c>
      <c r="P171" s="16" t="s">
        <v>57</v>
      </c>
      <c r="Q171" s="15" t="s">
        <v>859</v>
      </c>
      <c r="R171" s="15" t="s">
        <v>860</v>
      </c>
      <c r="S171" s="28" t="s">
        <v>2631</v>
      </c>
      <c r="T171" s="12">
        <v>0</v>
      </c>
      <c r="U171" s="12"/>
      <c r="V171" s="17"/>
      <c r="W171" s="38"/>
      <c r="X171" s="12"/>
      <c r="Y171" s="17"/>
      <c r="Z171" s="67"/>
      <c r="AA171" s="169"/>
    </row>
    <row r="172" spans="1:27" s="78" customFormat="1" ht="52.5">
      <c r="A172" s="13" t="s">
        <v>2559</v>
      </c>
      <c r="B172" s="13" t="s">
        <v>56</v>
      </c>
      <c r="C172" s="12">
        <v>171</v>
      </c>
      <c r="D172" s="33" t="s">
        <v>1489</v>
      </c>
      <c r="E172" s="15" t="s">
        <v>2284</v>
      </c>
      <c r="F172" s="12" t="s">
        <v>58</v>
      </c>
      <c r="G172" s="13" t="s">
        <v>267</v>
      </c>
      <c r="H172" s="12" t="s">
        <v>1132</v>
      </c>
      <c r="I172" s="43" t="s">
        <v>268</v>
      </c>
      <c r="J172" s="12">
        <v>2012</v>
      </c>
      <c r="K172" s="13">
        <v>2015</v>
      </c>
      <c r="L172" s="13" t="s">
        <v>261</v>
      </c>
      <c r="M172" s="15" t="s">
        <v>2058</v>
      </c>
      <c r="N172" s="12"/>
      <c r="O172" s="16" t="s">
        <v>59</v>
      </c>
      <c r="P172" s="16" t="s">
        <v>57</v>
      </c>
      <c r="Q172" s="15" t="s">
        <v>859</v>
      </c>
      <c r="R172" s="15" t="s">
        <v>860</v>
      </c>
      <c r="S172" s="28" t="s">
        <v>2631</v>
      </c>
      <c r="T172" s="12">
        <v>0</v>
      </c>
      <c r="U172" s="12"/>
      <c r="V172" s="17"/>
      <c r="W172" s="38"/>
      <c r="X172" s="12"/>
      <c r="Y172" s="17"/>
      <c r="Z172" s="67"/>
      <c r="AA172" s="169"/>
    </row>
    <row r="173" spans="1:27" s="78" customFormat="1" ht="52.5">
      <c r="A173" s="13" t="s">
        <v>2559</v>
      </c>
      <c r="B173" s="13" t="s">
        <v>56</v>
      </c>
      <c r="C173" s="12">
        <v>172</v>
      </c>
      <c r="D173" s="33" t="s">
        <v>2063</v>
      </c>
      <c r="E173" s="16" t="s">
        <v>2064</v>
      </c>
      <c r="F173" s="13" t="s">
        <v>58</v>
      </c>
      <c r="G173" s="13" t="s">
        <v>259</v>
      </c>
      <c r="H173" s="13" t="s">
        <v>1132</v>
      </c>
      <c r="I173" s="43" t="s">
        <v>260</v>
      </c>
      <c r="J173" s="13">
        <v>2013</v>
      </c>
      <c r="K173" s="13">
        <v>2015</v>
      </c>
      <c r="L173" s="13" t="s">
        <v>261</v>
      </c>
      <c r="M173" s="16" t="s">
        <v>2058</v>
      </c>
      <c r="N173" s="13"/>
      <c r="O173" s="16" t="s">
        <v>59</v>
      </c>
      <c r="P173" s="16" t="s">
        <v>57</v>
      </c>
      <c r="Q173" s="15" t="s">
        <v>901</v>
      </c>
      <c r="R173" s="15" t="s">
        <v>29</v>
      </c>
      <c r="S173" s="28" t="s">
        <v>2631</v>
      </c>
      <c r="T173" s="12">
        <v>0</v>
      </c>
      <c r="U173" s="12"/>
      <c r="V173" s="17"/>
      <c r="W173" s="38"/>
      <c r="X173" s="12"/>
      <c r="Y173" s="17"/>
      <c r="Z173" s="59"/>
      <c r="AA173" s="169"/>
    </row>
    <row r="174" spans="1:27" s="57" customFormat="1" ht="87.5">
      <c r="A174" s="13" t="s">
        <v>2559</v>
      </c>
      <c r="B174" s="41" t="s">
        <v>11</v>
      </c>
      <c r="C174" s="12">
        <v>173</v>
      </c>
      <c r="D174" s="33" t="s">
        <v>1262</v>
      </c>
      <c r="E174" s="16" t="s">
        <v>1660</v>
      </c>
      <c r="F174" s="12" t="s">
        <v>58</v>
      </c>
      <c r="G174" s="60" t="s">
        <v>259</v>
      </c>
      <c r="H174" s="12" t="s">
        <v>1132</v>
      </c>
      <c r="I174" s="33" t="s">
        <v>345</v>
      </c>
      <c r="J174" s="12">
        <v>2016</v>
      </c>
      <c r="K174" s="12">
        <v>2021</v>
      </c>
      <c r="L174" s="53" t="s">
        <v>261</v>
      </c>
      <c r="M174" s="16" t="s">
        <v>905</v>
      </c>
      <c r="N174" s="16" t="s">
        <v>339</v>
      </c>
      <c r="O174" s="16" t="s">
        <v>59</v>
      </c>
      <c r="P174" s="96" t="s">
        <v>57</v>
      </c>
      <c r="Q174" s="16" t="s">
        <v>906</v>
      </c>
      <c r="R174" s="15" t="s">
        <v>907</v>
      </c>
      <c r="S174" s="28" t="s">
        <v>2631</v>
      </c>
      <c r="T174" s="12">
        <v>0</v>
      </c>
      <c r="U174" s="12"/>
      <c r="V174" s="17"/>
      <c r="W174" s="38"/>
      <c r="X174" s="12"/>
      <c r="Y174" s="17"/>
      <c r="Z174" s="83"/>
      <c r="AA174" s="66"/>
    </row>
    <row r="175" spans="1:27" s="57" customFormat="1" ht="87.5">
      <c r="A175" s="13" t="s">
        <v>2559</v>
      </c>
      <c r="B175" s="41" t="s">
        <v>11</v>
      </c>
      <c r="C175" s="12">
        <v>174</v>
      </c>
      <c r="D175" s="33" t="s">
        <v>1261</v>
      </c>
      <c r="E175" s="16" t="s">
        <v>1661</v>
      </c>
      <c r="F175" s="12" t="s">
        <v>58</v>
      </c>
      <c r="G175" s="60" t="s">
        <v>340</v>
      </c>
      <c r="H175" s="12" t="s">
        <v>1132</v>
      </c>
      <c r="I175" s="33" t="s">
        <v>346</v>
      </c>
      <c r="J175" s="12">
        <v>2017</v>
      </c>
      <c r="K175" s="12">
        <v>2020</v>
      </c>
      <c r="L175" s="53" t="s">
        <v>261</v>
      </c>
      <c r="M175" s="16" t="s">
        <v>905</v>
      </c>
      <c r="N175" s="12"/>
      <c r="O175" s="16" t="s">
        <v>59</v>
      </c>
      <c r="P175" s="96" t="s">
        <v>57</v>
      </c>
      <c r="Q175" s="15" t="s">
        <v>901</v>
      </c>
      <c r="R175" s="15" t="s">
        <v>29</v>
      </c>
      <c r="S175" s="28" t="s">
        <v>2631</v>
      </c>
      <c r="T175" s="12">
        <v>0</v>
      </c>
      <c r="U175" s="12"/>
      <c r="V175" s="17"/>
      <c r="W175" s="38"/>
      <c r="X175" s="12"/>
      <c r="Y175" s="17"/>
      <c r="Z175" s="83"/>
      <c r="AA175" s="169"/>
    </row>
    <row r="176" spans="1:27" s="78" customFormat="1" ht="52.5">
      <c r="A176" s="13" t="s">
        <v>2559</v>
      </c>
      <c r="B176" s="13" t="s">
        <v>11</v>
      </c>
      <c r="C176" s="12">
        <v>175</v>
      </c>
      <c r="D176" s="33" t="s">
        <v>1263</v>
      </c>
      <c r="E176" s="16" t="s">
        <v>1659</v>
      </c>
      <c r="F176" s="12" t="s">
        <v>58</v>
      </c>
      <c r="G176" s="13" t="s">
        <v>259</v>
      </c>
      <c r="H176" s="12" t="s">
        <v>1132</v>
      </c>
      <c r="I176" s="43" t="s">
        <v>343</v>
      </c>
      <c r="J176" s="12">
        <v>2018</v>
      </c>
      <c r="K176" s="12">
        <v>2020</v>
      </c>
      <c r="L176" s="16" t="s">
        <v>261</v>
      </c>
      <c r="M176" s="16" t="s">
        <v>905</v>
      </c>
      <c r="N176" s="16" t="s">
        <v>339</v>
      </c>
      <c r="O176" s="16" t="s">
        <v>59</v>
      </c>
      <c r="P176" s="12" t="s">
        <v>57</v>
      </c>
      <c r="Q176" s="16" t="s">
        <v>859</v>
      </c>
      <c r="R176" s="15" t="s">
        <v>860</v>
      </c>
      <c r="S176" s="28" t="s">
        <v>2629</v>
      </c>
      <c r="T176" s="12">
        <v>1</v>
      </c>
      <c r="U176" s="12" t="s">
        <v>2957</v>
      </c>
      <c r="V176" s="17" t="s">
        <v>1257</v>
      </c>
      <c r="W176" s="38" t="s">
        <v>344</v>
      </c>
      <c r="X176" s="12" t="s">
        <v>218</v>
      </c>
      <c r="Y176" s="17" t="s">
        <v>904</v>
      </c>
      <c r="Z176" s="83"/>
      <c r="AA176" s="66"/>
    </row>
    <row r="177" spans="1:27" s="78" customFormat="1" ht="52.5">
      <c r="A177" s="13" t="s">
        <v>2559</v>
      </c>
      <c r="B177" s="13" t="s">
        <v>56</v>
      </c>
      <c r="C177" s="12">
        <v>176</v>
      </c>
      <c r="D177" s="33" t="s">
        <v>2056</v>
      </c>
      <c r="E177" s="16" t="s">
        <v>2057</v>
      </c>
      <c r="F177" s="13" t="s">
        <v>58</v>
      </c>
      <c r="G177" s="13" t="s">
        <v>259</v>
      </c>
      <c r="H177" s="157" t="s">
        <v>1132</v>
      </c>
      <c r="I177" s="33" t="s">
        <v>385</v>
      </c>
      <c r="J177" s="13">
        <v>2021</v>
      </c>
      <c r="K177" s="13">
        <v>2024</v>
      </c>
      <c r="L177" s="16" t="s">
        <v>261</v>
      </c>
      <c r="M177" s="16" t="s">
        <v>2058</v>
      </c>
      <c r="N177" s="16" t="s">
        <v>339</v>
      </c>
      <c r="O177" s="16" t="s">
        <v>59</v>
      </c>
      <c r="P177" s="13" t="s">
        <v>57</v>
      </c>
      <c r="Q177" s="16" t="s">
        <v>906</v>
      </c>
      <c r="R177" s="16" t="s">
        <v>907</v>
      </c>
      <c r="S177" s="28" t="s">
        <v>2631</v>
      </c>
      <c r="T177" s="12">
        <v>0</v>
      </c>
      <c r="U177" s="12"/>
      <c r="V177" s="17"/>
      <c r="W177" s="38"/>
      <c r="X177" s="12"/>
      <c r="Y177" s="17"/>
      <c r="Z177" s="59"/>
      <c r="AA177" s="66"/>
    </row>
    <row r="178" spans="1:27" s="78" customFormat="1" ht="52.5">
      <c r="A178" s="13" t="s">
        <v>2559</v>
      </c>
      <c r="B178" s="13" t="s">
        <v>56</v>
      </c>
      <c r="C178" s="12">
        <v>177</v>
      </c>
      <c r="D178" s="33" t="s">
        <v>2059</v>
      </c>
      <c r="E178" s="16" t="s">
        <v>2060</v>
      </c>
      <c r="F178" s="13" t="s">
        <v>58</v>
      </c>
      <c r="G178" s="13" t="s">
        <v>340</v>
      </c>
      <c r="H178" s="157" t="s">
        <v>1132</v>
      </c>
      <c r="I178" s="33" t="s">
        <v>386</v>
      </c>
      <c r="J178" s="13">
        <v>2021</v>
      </c>
      <c r="K178" s="13">
        <v>2024</v>
      </c>
      <c r="L178" s="16" t="s">
        <v>261</v>
      </c>
      <c r="M178" s="16" t="s">
        <v>2058</v>
      </c>
      <c r="N178" s="13"/>
      <c r="O178" s="16" t="s">
        <v>59</v>
      </c>
      <c r="P178" s="13" t="s">
        <v>57</v>
      </c>
      <c r="Q178" s="16" t="s">
        <v>906</v>
      </c>
      <c r="R178" s="16" t="s">
        <v>907</v>
      </c>
      <c r="S178" s="28" t="s">
        <v>2631</v>
      </c>
      <c r="T178" s="12">
        <v>0</v>
      </c>
      <c r="U178" s="12"/>
      <c r="V178" s="17"/>
      <c r="W178" s="38"/>
      <c r="X178" s="12"/>
      <c r="Y178" s="17"/>
      <c r="Z178" s="59"/>
      <c r="AA178" s="169"/>
    </row>
    <row r="179" spans="1:27" s="78" customFormat="1" ht="52.5">
      <c r="A179" s="13" t="s">
        <v>2559</v>
      </c>
      <c r="B179" s="13" t="s">
        <v>11</v>
      </c>
      <c r="C179" s="12">
        <v>178</v>
      </c>
      <c r="D179" s="38" t="s">
        <v>908</v>
      </c>
      <c r="E179" s="15" t="s">
        <v>1677</v>
      </c>
      <c r="F179" s="12" t="s">
        <v>58</v>
      </c>
      <c r="G179" s="12" t="s">
        <v>903</v>
      </c>
      <c r="H179" s="12" t="s">
        <v>164</v>
      </c>
      <c r="I179" s="43" t="s">
        <v>387</v>
      </c>
      <c r="J179" s="12">
        <v>2023</v>
      </c>
      <c r="K179" s="12">
        <v>2025</v>
      </c>
      <c r="L179" s="91" t="s">
        <v>904</v>
      </c>
      <c r="M179" s="15" t="s">
        <v>905</v>
      </c>
      <c r="N179" s="12"/>
      <c r="O179" s="16" t="s">
        <v>59</v>
      </c>
      <c r="P179" s="12" t="s">
        <v>57</v>
      </c>
      <c r="Q179" s="15" t="s">
        <v>906</v>
      </c>
      <c r="R179" s="15" t="s">
        <v>907</v>
      </c>
      <c r="S179" s="28" t="s">
        <v>2631</v>
      </c>
      <c r="T179" s="12">
        <v>0</v>
      </c>
      <c r="U179" s="12"/>
      <c r="V179" s="17"/>
      <c r="W179" s="38"/>
      <c r="X179" s="12"/>
      <c r="Y179" s="17"/>
      <c r="Z179" s="67"/>
      <c r="AA179" s="169"/>
    </row>
    <row r="180" spans="1:27" s="78" customFormat="1" ht="52.5">
      <c r="A180" s="13" t="s">
        <v>2559</v>
      </c>
      <c r="B180" s="13" t="s">
        <v>11</v>
      </c>
      <c r="C180" s="12">
        <v>179</v>
      </c>
      <c r="D180" s="38" t="s">
        <v>909</v>
      </c>
      <c r="E180" s="15" t="s">
        <v>1678</v>
      </c>
      <c r="F180" s="12" t="s">
        <v>58</v>
      </c>
      <c r="G180" s="12" t="s">
        <v>903</v>
      </c>
      <c r="H180" s="12" t="s">
        <v>389</v>
      </c>
      <c r="I180" s="43" t="s">
        <v>388</v>
      </c>
      <c r="J180" s="164">
        <v>2026</v>
      </c>
      <c r="K180" s="12">
        <v>2028</v>
      </c>
      <c r="L180" s="91" t="s">
        <v>904</v>
      </c>
      <c r="M180" s="91" t="s">
        <v>905</v>
      </c>
      <c r="N180" s="92"/>
      <c r="O180" s="16" t="s">
        <v>59</v>
      </c>
      <c r="P180" s="12" t="s">
        <v>57</v>
      </c>
      <c r="Q180" s="15" t="s">
        <v>906</v>
      </c>
      <c r="R180" s="162" t="s">
        <v>1712</v>
      </c>
      <c r="S180" s="28" t="s">
        <v>2631</v>
      </c>
      <c r="T180" s="12">
        <v>0</v>
      </c>
      <c r="U180" s="12"/>
      <c r="V180" s="17"/>
      <c r="W180" s="38"/>
      <c r="X180" s="12"/>
      <c r="Y180" s="17"/>
      <c r="Z180" s="67"/>
      <c r="AA180" s="169"/>
    </row>
    <row r="181" spans="1:27" s="78" customFormat="1" ht="87.5">
      <c r="A181" s="13" t="s">
        <v>2559</v>
      </c>
      <c r="B181" s="13" t="s">
        <v>56</v>
      </c>
      <c r="C181" s="12">
        <v>180</v>
      </c>
      <c r="D181" s="33" t="s">
        <v>1354</v>
      </c>
      <c r="E181" s="15" t="s">
        <v>1355</v>
      </c>
      <c r="F181" s="12" t="s">
        <v>58</v>
      </c>
      <c r="G181" s="13" t="s">
        <v>3166</v>
      </c>
      <c r="H181" s="12" t="s">
        <v>1132</v>
      </c>
      <c r="I181" s="43" t="s">
        <v>96</v>
      </c>
      <c r="J181" s="12">
        <v>2009</v>
      </c>
      <c r="K181" s="16">
        <v>2012</v>
      </c>
      <c r="L181" s="13" t="s">
        <v>95</v>
      </c>
      <c r="M181" s="91" t="s">
        <v>2158</v>
      </c>
      <c r="N181" s="91" t="s">
        <v>2160</v>
      </c>
      <c r="O181" s="16" t="s">
        <v>604</v>
      </c>
      <c r="P181" s="16" t="s">
        <v>10</v>
      </c>
      <c r="Q181" s="15" t="s">
        <v>859</v>
      </c>
      <c r="R181" s="15" t="s">
        <v>93</v>
      </c>
      <c r="S181" s="28" t="s">
        <v>2631</v>
      </c>
      <c r="T181" s="12">
        <v>0</v>
      </c>
      <c r="U181" s="12"/>
      <c r="V181" s="17"/>
      <c r="W181" s="38"/>
      <c r="X181" s="12"/>
      <c r="Y181" s="17"/>
      <c r="Z181" s="67"/>
      <c r="AA181" s="66"/>
    </row>
    <row r="182" spans="1:27" s="78" customFormat="1" ht="70">
      <c r="A182" s="13" t="s">
        <v>2559</v>
      </c>
      <c r="B182" s="13" t="s">
        <v>56</v>
      </c>
      <c r="C182" s="12">
        <v>181</v>
      </c>
      <c r="D182" s="33" t="s">
        <v>1353</v>
      </c>
      <c r="E182" s="15" t="s">
        <v>3159</v>
      </c>
      <c r="F182" s="12" t="s">
        <v>58</v>
      </c>
      <c r="G182" s="13" t="s">
        <v>3158</v>
      </c>
      <c r="H182" s="12" t="s">
        <v>1132</v>
      </c>
      <c r="I182" s="43" t="s">
        <v>94</v>
      </c>
      <c r="J182" s="12">
        <v>2009</v>
      </c>
      <c r="K182" s="16">
        <v>2012</v>
      </c>
      <c r="L182" s="13" t="s">
        <v>95</v>
      </c>
      <c r="M182" s="91" t="s">
        <v>2158</v>
      </c>
      <c r="N182" s="91" t="s">
        <v>2159</v>
      </c>
      <c r="O182" s="16" t="s">
        <v>604</v>
      </c>
      <c r="P182" s="16" t="s">
        <v>10</v>
      </c>
      <c r="Q182" s="15" t="s">
        <v>859</v>
      </c>
      <c r="R182" s="15" t="s">
        <v>93</v>
      </c>
      <c r="S182" s="28" t="s">
        <v>2631</v>
      </c>
      <c r="T182" s="12">
        <v>0</v>
      </c>
      <c r="U182" s="12"/>
      <c r="V182" s="17"/>
      <c r="W182" s="38"/>
      <c r="X182" s="12"/>
      <c r="Y182" s="17"/>
      <c r="Z182" s="67"/>
      <c r="AA182" s="56"/>
    </row>
    <row r="183" spans="1:27" s="78" customFormat="1" ht="35">
      <c r="A183" s="13" t="s">
        <v>2559</v>
      </c>
      <c r="B183" s="13" t="s">
        <v>56</v>
      </c>
      <c r="C183" s="12">
        <v>182</v>
      </c>
      <c r="D183" s="33" t="s">
        <v>1357</v>
      </c>
      <c r="E183" s="15" t="s">
        <v>1358</v>
      </c>
      <c r="F183" s="12" t="s">
        <v>58</v>
      </c>
      <c r="G183" s="13" t="s">
        <v>3166</v>
      </c>
      <c r="H183" s="12" t="s">
        <v>1132</v>
      </c>
      <c r="I183" s="33" t="s">
        <v>97</v>
      </c>
      <c r="J183" s="12">
        <v>2012</v>
      </c>
      <c r="K183" s="16">
        <v>2014</v>
      </c>
      <c r="L183" s="13" t="s">
        <v>95</v>
      </c>
      <c r="M183" s="91" t="s">
        <v>2158</v>
      </c>
      <c r="N183" s="15" t="s">
        <v>2161</v>
      </c>
      <c r="O183" s="16" t="s">
        <v>604</v>
      </c>
      <c r="P183" s="16" t="s">
        <v>10</v>
      </c>
      <c r="Q183" s="15" t="s">
        <v>859</v>
      </c>
      <c r="R183" s="15" t="s">
        <v>93</v>
      </c>
      <c r="S183" s="28" t="s">
        <v>2631</v>
      </c>
      <c r="T183" s="12">
        <v>0</v>
      </c>
      <c r="U183" s="12"/>
      <c r="V183" s="17"/>
      <c r="W183" s="38"/>
      <c r="X183" s="12"/>
      <c r="Y183" s="17"/>
      <c r="Z183" s="67"/>
      <c r="AA183" s="66"/>
    </row>
    <row r="184" spans="1:27" s="78" customFormat="1" ht="87.5">
      <c r="A184" s="13" t="s">
        <v>2559</v>
      </c>
      <c r="B184" s="13" t="s">
        <v>56</v>
      </c>
      <c r="C184" s="12">
        <v>183</v>
      </c>
      <c r="D184" s="33" t="s">
        <v>1354</v>
      </c>
      <c r="E184" s="15" t="s">
        <v>1356</v>
      </c>
      <c r="F184" s="12" t="s">
        <v>58</v>
      </c>
      <c r="G184" s="13" t="s">
        <v>3166</v>
      </c>
      <c r="H184" s="12" t="s">
        <v>1132</v>
      </c>
      <c r="I184" s="33" t="s">
        <v>96</v>
      </c>
      <c r="J184" s="12">
        <v>2012</v>
      </c>
      <c r="K184" s="16">
        <v>2014</v>
      </c>
      <c r="L184" s="13" t="s">
        <v>95</v>
      </c>
      <c r="M184" s="91" t="s">
        <v>2158</v>
      </c>
      <c r="N184" s="15" t="s">
        <v>2161</v>
      </c>
      <c r="O184" s="16" t="s">
        <v>604</v>
      </c>
      <c r="P184" s="16" t="s">
        <v>10</v>
      </c>
      <c r="Q184" s="15" t="s">
        <v>859</v>
      </c>
      <c r="R184" s="15" t="s">
        <v>93</v>
      </c>
      <c r="S184" s="28" t="s">
        <v>2631</v>
      </c>
      <c r="T184" s="12">
        <v>0</v>
      </c>
      <c r="U184" s="12"/>
      <c r="V184" s="17"/>
      <c r="W184" s="38"/>
      <c r="X184" s="12"/>
      <c r="Y184" s="17"/>
      <c r="Z184" s="67"/>
      <c r="AA184" s="167"/>
    </row>
    <row r="185" spans="1:27" s="78" customFormat="1" ht="105">
      <c r="A185" s="13" t="s">
        <v>2559</v>
      </c>
      <c r="B185" s="13" t="s">
        <v>11</v>
      </c>
      <c r="C185" s="12">
        <v>184</v>
      </c>
      <c r="D185" s="33" t="s">
        <v>1138</v>
      </c>
      <c r="E185" s="15" t="s">
        <v>1137</v>
      </c>
      <c r="F185" s="12" t="s">
        <v>58</v>
      </c>
      <c r="G185" s="13" t="s">
        <v>794</v>
      </c>
      <c r="H185" s="12" t="s">
        <v>1132</v>
      </c>
      <c r="I185" s="15" t="s">
        <v>1139</v>
      </c>
      <c r="J185" s="12">
        <v>2018</v>
      </c>
      <c r="K185" s="12">
        <v>2020</v>
      </c>
      <c r="L185" s="16" t="s">
        <v>1133</v>
      </c>
      <c r="M185" s="15" t="s">
        <v>3065</v>
      </c>
      <c r="N185" s="15" t="s">
        <v>2095</v>
      </c>
      <c r="O185" s="16" t="s">
        <v>604</v>
      </c>
      <c r="P185" s="12" t="s">
        <v>57</v>
      </c>
      <c r="Q185" s="16" t="s">
        <v>859</v>
      </c>
      <c r="R185" s="15" t="s">
        <v>862</v>
      </c>
      <c r="S185" s="28" t="s">
        <v>2631</v>
      </c>
      <c r="T185" s="12">
        <v>0</v>
      </c>
      <c r="U185" s="12"/>
      <c r="V185" s="17"/>
      <c r="W185" s="38"/>
      <c r="X185" s="12"/>
      <c r="Y185" s="17"/>
      <c r="Z185" s="83"/>
      <c r="AA185" s="66" t="s">
        <v>2794</v>
      </c>
    </row>
    <row r="186" spans="1:27" s="78" customFormat="1" ht="70">
      <c r="A186" s="13" t="s">
        <v>2559</v>
      </c>
      <c r="B186" s="13" t="s">
        <v>11</v>
      </c>
      <c r="C186" s="12">
        <v>185</v>
      </c>
      <c r="D186" s="38" t="s">
        <v>932</v>
      </c>
      <c r="E186" s="15" t="s">
        <v>933</v>
      </c>
      <c r="F186" s="12" t="s">
        <v>770</v>
      </c>
      <c r="G186" s="12" t="s">
        <v>805</v>
      </c>
      <c r="H186" s="12" t="s">
        <v>164</v>
      </c>
      <c r="I186" s="33" t="s">
        <v>401</v>
      </c>
      <c r="J186" s="12">
        <v>2019</v>
      </c>
      <c r="K186" s="12">
        <v>2024</v>
      </c>
      <c r="L186" s="15" t="s">
        <v>934</v>
      </c>
      <c r="M186" s="15" t="s">
        <v>935</v>
      </c>
      <c r="N186" s="12"/>
      <c r="O186" s="15" t="s">
        <v>763</v>
      </c>
      <c r="P186" s="12" t="s">
        <v>538</v>
      </c>
      <c r="Q186" s="15" t="s">
        <v>858</v>
      </c>
      <c r="R186" s="15" t="s">
        <v>39</v>
      </c>
      <c r="S186" s="28" t="s">
        <v>2631</v>
      </c>
      <c r="T186" s="12">
        <v>0</v>
      </c>
      <c r="U186" s="12"/>
      <c r="V186" s="17"/>
      <c r="W186" s="38"/>
      <c r="X186" s="12"/>
      <c r="Y186" s="17"/>
      <c r="Z186" s="67"/>
      <c r="AA186" s="169" t="s">
        <v>3118</v>
      </c>
    </row>
    <row r="187" spans="1:27" s="78" customFormat="1" ht="87.5">
      <c r="A187" s="13" t="s">
        <v>2559</v>
      </c>
      <c r="B187" s="13" t="s">
        <v>11</v>
      </c>
      <c r="C187" s="12">
        <v>186</v>
      </c>
      <c r="D187" s="38" t="s">
        <v>939</v>
      </c>
      <c r="E187" s="15" t="s">
        <v>940</v>
      </c>
      <c r="F187" s="12" t="s">
        <v>403</v>
      </c>
      <c r="G187" s="12" t="s">
        <v>806</v>
      </c>
      <c r="H187" s="12" t="s">
        <v>164</v>
      </c>
      <c r="I187" s="33" t="s">
        <v>404</v>
      </c>
      <c r="J187" s="12">
        <v>2019</v>
      </c>
      <c r="K187" s="12">
        <v>2024</v>
      </c>
      <c r="L187" s="15" t="s">
        <v>934</v>
      </c>
      <c r="M187" s="15" t="s">
        <v>935</v>
      </c>
      <c r="N187" s="12"/>
      <c r="O187" s="15" t="s">
        <v>763</v>
      </c>
      <c r="P187" s="12" t="s">
        <v>538</v>
      </c>
      <c r="Q187" s="15" t="s">
        <v>863</v>
      </c>
      <c r="R187" s="15" t="s">
        <v>25</v>
      </c>
      <c r="S187" s="28" t="s">
        <v>2631</v>
      </c>
      <c r="T187" s="12">
        <v>0</v>
      </c>
      <c r="U187" s="12"/>
      <c r="V187" s="17"/>
      <c r="W187" s="38"/>
      <c r="X187" s="12"/>
      <c r="Y187" s="17"/>
      <c r="Z187" s="67"/>
      <c r="AA187" s="169"/>
    </row>
    <row r="188" spans="1:27" s="100" customFormat="1" ht="87.5">
      <c r="A188" s="13" t="s">
        <v>2559</v>
      </c>
      <c r="B188" s="13" t="s">
        <v>11</v>
      </c>
      <c r="C188" s="12">
        <v>187</v>
      </c>
      <c r="D188" s="38" t="s">
        <v>936</v>
      </c>
      <c r="E188" s="15" t="s">
        <v>937</v>
      </c>
      <c r="F188" s="12" t="s">
        <v>770</v>
      </c>
      <c r="G188" s="12" t="s">
        <v>805</v>
      </c>
      <c r="H188" s="12" t="s">
        <v>164</v>
      </c>
      <c r="I188" s="33" t="s">
        <v>402</v>
      </c>
      <c r="J188" s="12">
        <v>2022</v>
      </c>
      <c r="K188" s="12">
        <v>2026</v>
      </c>
      <c r="L188" s="15" t="s">
        <v>934</v>
      </c>
      <c r="M188" s="15" t="s">
        <v>935</v>
      </c>
      <c r="N188" s="12"/>
      <c r="O188" s="15" t="s">
        <v>604</v>
      </c>
      <c r="P188" s="12" t="s">
        <v>938</v>
      </c>
      <c r="Q188" s="15" t="s">
        <v>858</v>
      </c>
      <c r="R188" s="15" t="s">
        <v>39</v>
      </c>
      <c r="S188" s="28" t="s">
        <v>2631</v>
      </c>
      <c r="T188" s="12">
        <v>0</v>
      </c>
      <c r="U188" s="12"/>
      <c r="V188" s="17"/>
      <c r="W188" s="38"/>
      <c r="X188" s="12"/>
      <c r="Y188" s="17"/>
      <c r="Z188" s="67"/>
      <c r="AA188" s="169"/>
    </row>
    <row r="189" spans="1:27" s="78" customFormat="1" ht="52.5">
      <c r="A189" s="13" t="s">
        <v>2559</v>
      </c>
      <c r="B189" s="13" t="s">
        <v>11</v>
      </c>
      <c r="C189" s="12">
        <v>188</v>
      </c>
      <c r="D189" s="38" t="s">
        <v>944</v>
      </c>
      <c r="E189" s="15" t="s">
        <v>945</v>
      </c>
      <c r="F189" s="12" t="s">
        <v>770</v>
      </c>
      <c r="G189" s="12" t="s">
        <v>2608</v>
      </c>
      <c r="H189" s="12" t="s">
        <v>164</v>
      </c>
      <c r="I189" s="33" t="s">
        <v>406</v>
      </c>
      <c r="J189" s="12">
        <v>2022</v>
      </c>
      <c r="K189" s="12">
        <v>2025</v>
      </c>
      <c r="L189" s="15" t="s">
        <v>934</v>
      </c>
      <c r="M189" s="15" t="s">
        <v>935</v>
      </c>
      <c r="N189" s="12"/>
      <c r="O189" s="15" t="s">
        <v>604</v>
      </c>
      <c r="P189" s="12" t="s">
        <v>938</v>
      </c>
      <c r="Q189" s="15" t="s">
        <v>901</v>
      </c>
      <c r="R189" s="15" t="s">
        <v>32</v>
      </c>
      <c r="S189" s="28" t="s">
        <v>2631</v>
      </c>
      <c r="T189" s="12">
        <v>0</v>
      </c>
      <c r="U189" s="12"/>
      <c r="V189" s="17"/>
      <c r="W189" s="38"/>
      <c r="X189" s="12"/>
      <c r="Y189" s="17"/>
      <c r="Z189" s="67"/>
      <c r="AA189" s="169"/>
    </row>
    <row r="190" spans="1:27" s="78" customFormat="1" ht="70">
      <c r="A190" s="13" t="s">
        <v>2559</v>
      </c>
      <c r="B190" s="13" t="s">
        <v>11</v>
      </c>
      <c r="C190" s="12">
        <v>189</v>
      </c>
      <c r="D190" s="38" t="s">
        <v>941</v>
      </c>
      <c r="E190" s="15" t="s">
        <v>942</v>
      </c>
      <c r="F190" s="12" t="s">
        <v>403</v>
      </c>
      <c r="G190" s="12" t="s">
        <v>809</v>
      </c>
      <c r="H190" s="12" t="s">
        <v>164</v>
      </c>
      <c r="I190" s="33" t="s">
        <v>405</v>
      </c>
      <c r="J190" s="12">
        <v>2023</v>
      </c>
      <c r="K190" s="12">
        <v>2028</v>
      </c>
      <c r="L190" s="15" t="s">
        <v>934</v>
      </c>
      <c r="M190" s="15" t="s">
        <v>935</v>
      </c>
      <c r="N190" s="12" t="s">
        <v>943</v>
      </c>
      <c r="O190" s="15" t="s">
        <v>604</v>
      </c>
      <c r="P190" s="12" t="s">
        <v>938</v>
      </c>
      <c r="Q190" s="15" t="s">
        <v>901</v>
      </c>
      <c r="R190" s="15" t="s">
        <v>32</v>
      </c>
      <c r="S190" s="28" t="s">
        <v>2631</v>
      </c>
      <c r="T190" s="12">
        <v>0</v>
      </c>
      <c r="U190" s="12"/>
      <c r="V190" s="17"/>
      <c r="W190" s="38"/>
      <c r="X190" s="12"/>
      <c r="Y190" s="17"/>
      <c r="Z190" s="67"/>
      <c r="AA190" s="66"/>
    </row>
    <row r="191" spans="1:27" s="78" customFormat="1" ht="87.5">
      <c r="A191" s="13" t="s">
        <v>2559</v>
      </c>
      <c r="B191" s="13" t="s">
        <v>11</v>
      </c>
      <c r="C191" s="12">
        <v>190</v>
      </c>
      <c r="D191" s="38" t="s">
        <v>407</v>
      </c>
      <c r="E191" s="15"/>
      <c r="F191" s="12" t="s">
        <v>770</v>
      </c>
      <c r="G191" s="12" t="s">
        <v>805</v>
      </c>
      <c r="H191" s="12" t="s">
        <v>408</v>
      </c>
      <c r="I191" s="87"/>
      <c r="J191" s="12">
        <v>2023</v>
      </c>
      <c r="K191" s="12">
        <v>2028</v>
      </c>
      <c r="L191" s="15" t="s">
        <v>934</v>
      </c>
      <c r="M191" s="15" t="s">
        <v>935</v>
      </c>
      <c r="N191" s="12"/>
      <c r="O191" s="15" t="s">
        <v>604</v>
      </c>
      <c r="P191" s="12" t="s">
        <v>938</v>
      </c>
      <c r="Q191" s="15" t="s">
        <v>858</v>
      </c>
      <c r="R191" s="15" t="s">
        <v>39</v>
      </c>
      <c r="S191" s="28" t="s">
        <v>2631</v>
      </c>
      <c r="T191" s="12">
        <v>0</v>
      </c>
      <c r="U191" s="12"/>
      <c r="V191" s="17"/>
      <c r="W191" s="38"/>
      <c r="X191" s="12"/>
      <c r="Y191" s="17"/>
      <c r="Z191" s="67"/>
      <c r="AA191" s="169"/>
    </row>
    <row r="192" spans="1:27" s="78" customFormat="1" ht="52.5">
      <c r="A192" s="13" t="s">
        <v>2559</v>
      </c>
      <c r="B192" s="13" t="s">
        <v>11</v>
      </c>
      <c r="C192" s="12">
        <v>191</v>
      </c>
      <c r="D192" s="38" t="s">
        <v>946</v>
      </c>
      <c r="E192" s="15"/>
      <c r="F192" s="12" t="s">
        <v>403</v>
      </c>
      <c r="G192" s="12" t="s">
        <v>806</v>
      </c>
      <c r="H192" s="12" t="s">
        <v>389</v>
      </c>
      <c r="I192" s="87"/>
      <c r="J192" s="12">
        <v>2024</v>
      </c>
      <c r="K192" s="12">
        <v>2028</v>
      </c>
      <c r="L192" s="15" t="s">
        <v>934</v>
      </c>
      <c r="M192" s="15"/>
      <c r="N192" s="12"/>
      <c r="O192" s="15" t="s">
        <v>604</v>
      </c>
      <c r="P192" s="12" t="s">
        <v>938</v>
      </c>
      <c r="Q192" s="15" t="s">
        <v>863</v>
      </c>
      <c r="R192" s="15" t="s">
        <v>25</v>
      </c>
      <c r="S192" s="28" t="s">
        <v>2631</v>
      </c>
      <c r="T192" s="12">
        <v>0</v>
      </c>
      <c r="U192" s="12"/>
      <c r="V192" s="17"/>
      <c r="W192" s="38"/>
      <c r="X192" s="12"/>
      <c r="Y192" s="17"/>
      <c r="Z192" s="67"/>
      <c r="AA192" s="169"/>
    </row>
    <row r="193" spans="1:27" s="78" customFormat="1" ht="52.5">
      <c r="A193" s="13" t="s">
        <v>2559</v>
      </c>
      <c r="B193" s="13" t="s">
        <v>11</v>
      </c>
      <c r="C193" s="12">
        <v>192</v>
      </c>
      <c r="D193" s="33" t="s">
        <v>1347</v>
      </c>
      <c r="E193" s="15" t="s">
        <v>1348</v>
      </c>
      <c r="F193" s="12" t="s">
        <v>224</v>
      </c>
      <c r="G193" s="13" t="s">
        <v>3152</v>
      </c>
      <c r="H193" s="12" t="s">
        <v>1132</v>
      </c>
      <c r="I193" s="33" t="s">
        <v>84</v>
      </c>
      <c r="J193" s="12">
        <v>2009</v>
      </c>
      <c r="K193" s="13">
        <v>2011</v>
      </c>
      <c r="L193" s="13" t="s">
        <v>74</v>
      </c>
      <c r="M193" s="15" t="s">
        <v>842</v>
      </c>
      <c r="N193" s="12"/>
      <c r="O193" s="16" t="s">
        <v>604</v>
      </c>
      <c r="P193" s="16" t="s">
        <v>10</v>
      </c>
      <c r="Q193" s="15" t="s">
        <v>891</v>
      </c>
      <c r="R193" s="15" t="s">
        <v>93</v>
      </c>
      <c r="S193" s="28" t="s">
        <v>2631</v>
      </c>
      <c r="T193" s="12">
        <v>0</v>
      </c>
      <c r="U193" s="12"/>
      <c r="V193" s="17"/>
      <c r="W193" s="38"/>
      <c r="X193" s="12"/>
      <c r="Y193" s="17"/>
      <c r="Z193" s="67"/>
      <c r="AA193" s="169"/>
    </row>
    <row r="194" spans="1:27" s="78" customFormat="1" ht="52.5">
      <c r="A194" s="13" t="s">
        <v>2559</v>
      </c>
      <c r="B194" s="13" t="s">
        <v>11</v>
      </c>
      <c r="C194" s="12">
        <v>193</v>
      </c>
      <c r="D194" s="33" t="s">
        <v>1349</v>
      </c>
      <c r="E194" s="15" t="s">
        <v>1350</v>
      </c>
      <c r="F194" s="12" t="s">
        <v>58</v>
      </c>
      <c r="G194" s="13" t="s">
        <v>3176</v>
      </c>
      <c r="H194" s="12" t="s">
        <v>1132</v>
      </c>
      <c r="I194" s="33" t="s">
        <v>85</v>
      </c>
      <c r="J194" s="12">
        <v>2010</v>
      </c>
      <c r="K194" s="13">
        <v>2012</v>
      </c>
      <c r="L194" s="13" t="s">
        <v>74</v>
      </c>
      <c r="M194" s="15" t="s">
        <v>842</v>
      </c>
      <c r="N194" s="12"/>
      <c r="O194" s="16" t="s">
        <v>604</v>
      </c>
      <c r="P194" s="16" t="s">
        <v>10</v>
      </c>
      <c r="Q194" s="15" t="s">
        <v>891</v>
      </c>
      <c r="R194" s="15" t="s">
        <v>93</v>
      </c>
      <c r="S194" s="28" t="s">
        <v>2631</v>
      </c>
      <c r="T194" s="12">
        <v>0</v>
      </c>
      <c r="U194" s="12"/>
      <c r="V194" s="17"/>
      <c r="W194" s="38"/>
      <c r="X194" s="12"/>
      <c r="Y194" s="17"/>
      <c r="Z194" s="67"/>
      <c r="AA194" s="169"/>
    </row>
    <row r="195" spans="1:27" s="78" customFormat="1" ht="52.5">
      <c r="A195" s="13" t="s">
        <v>2559</v>
      </c>
      <c r="B195" s="13" t="s">
        <v>11</v>
      </c>
      <c r="C195" s="12">
        <v>194</v>
      </c>
      <c r="D195" s="33" t="s">
        <v>1341</v>
      </c>
      <c r="E195" s="15" t="s">
        <v>1342</v>
      </c>
      <c r="F195" s="12" t="s">
        <v>770</v>
      </c>
      <c r="G195" s="13" t="s">
        <v>77</v>
      </c>
      <c r="H195" s="12" t="s">
        <v>1132</v>
      </c>
      <c r="I195" s="33" t="s">
        <v>79</v>
      </c>
      <c r="J195" s="12">
        <v>2012</v>
      </c>
      <c r="K195" s="13">
        <v>2016</v>
      </c>
      <c r="L195" s="13" t="s">
        <v>74</v>
      </c>
      <c r="M195" s="15" t="s">
        <v>842</v>
      </c>
      <c r="N195" s="12"/>
      <c r="O195" s="16" t="s">
        <v>604</v>
      </c>
      <c r="P195" s="16" t="s">
        <v>10</v>
      </c>
      <c r="Q195" s="15" t="s">
        <v>859</v>
      </c>
      <c r="R195" s="15" t="s">
        <v>861</v>
      </c>
      <c r="S195" s="28" t="s">
        <v>2631</v>
      </c>
      <c r="T195" s="12">
        <v>0</v>
      </c>
      <c r="U195" s="12"/>
      <c r="V195" s="17"/>
      <c r="W195" s="38"/>
      <c r="X195" s="12"/>
      <c r="Y195" s="17"/>
      <c r="Z195" s="67"/>
      <c r="AA195" s="169"/>
    </row>
    <row r="196" spans="1:27" s="78" customFormat="1" ht="70">
      <c r="A196" s="13" t="s">
        <v>2559</v>
      </c>
      <c r="B196" s="13" t="s">
        <v>11</v>
      </c>
      <c r="C196" s="12">
        <v>195</v>
      </c>
      <c r="D196" s="33" t="s">
        <v>1339</v>
      </c>
      <c r="E196" s="15" t="s">
        <v>1340</v>
      </c>
      <c r="F196" s="12" t="s">
        <v>770</v>
      </c>
      <c r="G196" s="13" t="s">
        <v>77</v>
      </c>
      <c r="H196" s="12" t="s">
        <v>1132</v>
      </c>
      <c r="I196" s="33" t="s">
        <v>78</v>
      </c>
      <c r="J196" s="12">
        <v>2013</v>
      </c>
      <c r="K196" s="13">
        <v>2016</v>
      </c>
      <c r="L196" s="13" t="s">
        <v>74</v>
      </c>
      <c r="M196" s="15" t="s">
        <v>842</v>
      </c>
      <c r="N196" s="12"/>
      <c r="O196" s="16" t="s">
        <v>604</v>
      </c>
      <c r="P196" s="16" t="s">
        <v>10</v>
      </c>
      <c r="Q196" s="15" t="s">
        <v>859</v>
      </c>
      <c r="R196" s="15" t="s">
        <v>861</v>
      </c>
      <c r="S196" s="28" t="s">
        <v>2631</v>
      </c>
      <c r="T196" s="12">
        <v>0</v>
      </c>
      <c r="U196" s="12"/>
      <c r="V196" s="17"/>
      <c r="W196" s="38"/>
      <c r="X196" s="12"/>
      <c r="Y196" s="17"/>
      <c r="Z196" s="67"/>
      <c r="AA196" s="169"/>
    </row>
    <row r="197" spans="1:27" s="78" customFormat="1" ht="70">
      <c r="A197" s="13" t="s">
        <v>2559</v>
      </c>
      <c r="B197" s="13" t="s">
        <v>11</v>
      </c>
      <c r="C197" s="12">
        <v>196</v>
      </c>
      <c r="D197" s="33" t="s">
        <v>1343</v>
      </c>
      <c r="E197" s="15" t="s">
        <v>1344</v>
      </c>
      <c r="F197" s="12" t="s">
        <v>58</v>
      </c>
      <c r="G197" s="13" t="s">
        <v>3177</v>
      </c>
      <c r="H197" s="12" t="s">
        <v>1132</v>
      </c>
      <c r="I197" s="33" t="s">
        <v>82</v>
      </c>
      <c r="J197" s="12">
        <v>2014</v>
      </c>
      <c r="K197" s="13">
        <v>2015</v>
      </c>
      <c r="L197" s="13" t="s">
        <v>74</v>
      </c>
      <c r="M197" s="15" t="s">
        <v>842</v>
      </c>
      <c r="N197" s="12"/>
      <c r="O197" s="16" t="s">
        <v>604</v>
      </c>
      <c r="P197" s="16" t="s">
        <v>10</v>
      </c>
      <c r="Q197" s="15" t="s">
        <v>859</v>
      </c>
      <c r="R197" s="15" t="s">
        <v>861</v>
      </c>
      <c r="S197" s="28" t="s">
        <v>2631</v>
      </c>
      <c r="T197" s="12">
        <v>0</v>
      </c>
      <c r="U197" s="12"/>
      <c r="V197" s="17"/>
      <c r="W197" s="38"/>
      <c r="X197" s="12"/>
      <c r="Y197" s="17"/>
      <c r="Z197" s="67"/>
      <c r="AA197" s="169"/>
    </row>
    <row r="198" spans="1:27" s="78" customFormat="1" ht="70">
      <c r="A198" s="13" t="s">
        <v>2559</v>
      </c>
      <c r="B198" s="13" t="s">
        <v>11</v>
      </c>
      <c r="C198" s="12">
        <v>197</v>
      </c>
      <c r="D198" s="33" t="s">
        <v>1335</v>
      </c>
      <c r="E198" s="15" t="s">
        <v>1336</v>
      </c>
      <c r="F198" s="12" t="s">
        <v>58</v>
      </c>
      <c r="G198" s="13" t="s">
        <v>3177</v>
      </c>
      <c r="H198" s="12" t="s">
        <v>1132</v>
      </c>
      <c r="I198" s="33" t="s">
        <v>75</v>
      </c>
      <c r="J198" s="12">
        <v>2016</v>
      </c>
      <c r="K198" s="13">
        <v>2018</v>
      </c>
      <c r="L198" s="13" t="s">
        <v>74</v>
      </c>
      <c r="M198" s="15" t="s">
        <v>842</v>
      </c>
      <c r="N198" s="12"/>
      <c r="O198" s="16" t="s">
        <v>604</v>
      </c>
      <c r="P198" s="16" t="s">
        <v>62</v>
      </c>
      <c r="Q198" s="15" t="s">
        <v>859</v>
      </c>
      <c r="R198" s="15" t="s">
        <v>861</v>
      </c>
      <c r="S198" s="28" t="s">
        <v>2631</v>
      </c>
      <c r="T198" s="12">
        <v>0</v>
      </c>
      <c r="U198" s="12"/>
      <c r="V198" s="17"/>
      <c r="W198" s="38"/>
      <c r="X198" s="12"/>
      <c r="Y198" s="17"/>
      <c r="Z198" s="67"/>
      <c r="AA198" s="66"/>
    </row>
    <row r="199" spans="1:27" s="78" customFormat="1" ht="52.5">
      <c r="A199" s="13" t="s">
        <v>2559</v>
      </c>
      <c r="B199" s="13" t="s">
        <v>11</v>
      </c>
      <c r="C199" s="12">
        <v>198</v>
      </c>
      <c r="D199" s="33" t="s">
        <v>1337</v>
      </c>
      <c r="E199" s="15" t="s">
        <v>1338</v>
      </c>
      <c r="F199" s="12" t="s">
        <v>58</v>
      </c>
      <c r="G199" s="13" t="s">
        <v>3177</v>
      </c>
      <c r="H199" s="12" t="s">
        <v>1132</v>
      </c>
      <c r="I199" s="33" t="s">
        <v>76</v>
      </c>
      <c r="J199" s="12">
        <v>2016</v>
      </c>
      <c r="K199" s="13">
        <v>2019</v>
      </c>
      <c r="L199" s="13" t="s">
        <v>74</v>
      </c>
      <c r="M199" s="15" t="s">
        <v>842</v>
      </c>
      <c r="N199" s="12"/>
      <c r="O199" s="16" t="s">
        <v>604</v>
      </c>
      <c r="P199" s="16" t="s">
        <v>62</v>
      </c>
      <c r="Q199" s="15" t="s">
        <v>859</v>
      </c>
      <c r="R199" s="15" t="s">
        <v>861</v>
      </c>
      <c r="S199" s="28" t="s">
        <v>2631</v>
      </c>
      <c r="T199" s="12">
        <v>0</v>
      </c>
      <c r="U199" s="12"/>
      <c r="V199" s="17"/>
      <c r="W199" s="38"/>
      <c r="X199" s="12"/>
      <c r="Y199" s="17"/>
      <c r="Z199" s="67"/>
      <c r="AA199" s="66"/>
    </row>
    <row r="200" spans="1:27" s="78" customFormat="1" ht="70">
      <c r="A200" s="13" t="s">
        <v>2559</v>
      </c>
      <c r="B200" s="13" t="s">
        <v>11</v>
      </c>
      <c r="C200" s="12">
        <v>199</v>
      </c>
      <c r="D200" s="175" t="s">
        <v>2684</v>
      </c>
      <c r="E200" s="162" t="s">
        <v>81</v>
      </c>
      <c r="F200" s="12" t="s">
        <v>841</v>
      </c>
      <c r="G200" s="13" t="s">
        <v>785</v>
      </c>
      <c r="H200" s="12" t="s">
        <v>1132</v>
      </c>
      <c r="I200" s="33" t="s">
        <v>80</v>
      </c>
      <c r="J200" s="12">
        <v>2017</v>
      </c>
      <c r="K200" s="13">
        <v>2019</v>
      </c>
      <c r="L200" s="13" t="s">
        <v>74</v>
      </c>
      <c r="M200" s="15" t="s">
        <v>842</v>
      </c>
      <c r="N200" s="12"/>
      <c r="O200" s="16" t="s">
        <v>604</v>
      </c>
      <c r="P200" s="16" t="s">
        <v>62</v>
      </c>
      <c r="Q200" s="15" t="s">
        <v>859</v>
      </c>
      <c r="R200" s="15" t="s">
        <v>861</v>
      </c>
      <c r="S200" s="28" t="s">
        <v>2631</v>
      </c>
      <c r="T200" s="12">
        <v>0</v>
      </c>
      <c r="U200" s="12"/>
      <c r="V200" s="17"/>
      <c r="W200" s="38"/>
      <c r="X200" s="12"/>
      <c r="Y200" s="17"/>
      <c r="Z200" s="67"/>
      <c r="AA200" s="66" t="s">
        <v>2794</v>
      </c>
    </row>
    <row r="201" spans="1:27" s="78" customFormat="1" ht="122.5">
      <c r="A201" s="13" t="s">
        <v>2559</v>
      </c>
      <c r="B201" s="13" t="s">
        <v>11</v>
      </c>
      <c r="C201" s="12">
        <v>200</v>
      </c>
      <c r="D201" s="47" t="s">
        <v>2196</v>
      </c>
      <c r="E201" s="15" t="s">
        <v>1150</v>
      </c>
      <c r="F201" s="12" t="s">
        <v>403</v>
      </c>
      <c r="G201" s="12" t="s">
        <v>1151</v>
      </c>
      <c r="H201" s="12" t="s">
        <v>1132</v>
      </c>
      <c r="I201" s="15" t="s">
        <v>1152</v>
      </c>
      <c r="J201" s="12">
        <v>2019</v>
      </c>
      <c r="K201" s="12">
        <v>2022</v>
      </c>
      <c r="L201" s="16" t="s">
        <v>74</v>
      </c>
      <c r="M201" s="15" t="s">
        <v>2096</v>
      </c>
      <c r="N201" s="15"/>
      <c r="O201" s="16" t="s">
        <v>604</v>
      </c>
      <c r="P201" s="12" t="s">
        <v>538</v>
      </c>
      <c r="Q201" s="16" t="s">
        <v>1153</v>
      </c>
      <c r="R201" s="15" t="s">
        <v>22</v>
      </c>
      <c r="S201" s="28" t="s">
        <v>2631</v>
      </c>
      <c r="T201" s="12">
        <v>0</v>
      </c>
      <c r="U201" s="12"/>
      <c r="V201" s="17"/>
      <c r="W201" s="38"/>
      <c r="X201" s="12"/>
      <c r="Y201" s="17"/>
      <c r="Z201" s="83"/>
      <c r="AA201" s="66" t="s">
        <v>2794</v>
      </c>
    </row>
    <row r="202" spans="1:27" s="78" customFormat="1" ht="52.5">
      <c r="A202" s="13" t="s">
        <v>2559</v>
      </c>
      <c r="B202" s="13" t="s">
        <v>11</v>
      </c>
      <c r="C202" s="12">
        <v>201</v>
      </c>
      <c r="D202" s="47" t="s">
        <v>2195</v>
      </c>
      <c r="E202" s="15" t="s">
        <v>1148</v>
      </c>
      <c r="F202" s="12" t="s">
        <v>58</v>
      </c>
      <c r="G202" s="13" t="s">
        <v>795</v>
      </c>
      <c r="H202" s="12" t="s">
        <v>1132</v>
      </c>
      <c r="I202" s="15" t="s">
        <v>1149</v>
      </c>
      <c r="J202" s="12">
        <v>2021</v>
      </c>
      <c r="K202" s="12">
        <v>2023</v>
      </c>
      <c r="L202" s="16" t="s">
        <v>74</v>
      </c>
      <c r="M202" s="15" t="s">
        <v>842</v>
      </c>
      <c r="N202" s="15" t="s">
        <v>1147</v>
      </c>
      <c r="O202" s="16" t="s">
        <v>59</v>
      </c>
      <c r="P202" s="12" t="s">
        <v>57</v>
      </c>
      <c r="Q202" s="16" t="s">
        <v>859</v>
      </c>
      <c r="R202" s="15" t="s">
        <v>862</v>
      </c>
      <c r="S202" s="28" t="s">
        <v>2631</v>
      </c>
      <c r="T202" s="12">
        <v>0</v>
      </c>
      <c r="U202" s="12"/>
      <c r="V202" s="17"/>
      <c r="W202" s="38"/>
      <c r="X202" s="12"/>
      <c r="Y202" s="17"/>
      <c r="Z202" s="83"/>
      <c r="AA202" s="66" t="s">
        <v>2794</v>
      </c>
    </row>
    <row r="203" spans="1:27" s="78" customFormat="1" ht="52.5">
      <c r="A203" s="13" t="s">
        <v>2559</v>
      </c>
      <c r="B203" s="13" t="s">
        <v>11</v>
      </c>
      <c r="C203" s="12">
        <v>202</v>
      </c>
      <c r="D203" s="33" t="s">
        <v>1351</v>
      </c>
      <c r="E203" s="15" t="s">
        <v>1352</v>
      </c>
      <c r="F203" s="12" t="s">
        <v>58</v>
      </c>
      <c r="G203" s="13" t="s">
        <v>3176</v>
      </c>
      <c r="H203" s="12" t="s">
        <v>1132</v>
      </c>
      <c r="I203" s="33" t="s">
        <v>88</v>
      </c>
      <c r="J203" s="12">
        <v>2012</v>
      </c>
      <c r="K203" s="13">
        <v>2014</v>
      </c>
      <c r="L203" s="16" t="s">
        <v>2636</v>
      </c>
      <c r="M203" s="15" t="s">
        <v>842</v>
      </c>
      <c r="N203" s="12"/>
      <c r="O203" s="16" t="s">
        <v>604</v>
      </c>
      <c r="P203" s="16" t="s">
        <v>10</v>
      </c>
      <c r="Q203" s="15" t="s">
        <v>891</v>
      </c>
      <c r="R203" s="15" t="s">
        <v>93</v>
      </c>
      <c r="S203" s="28" t="s">
        <v>2631</v>
      </c>
      <c r="T203" s="12">
        <v>0</v>
      </c>
      <c r="U203" s="12"/>
      <c r="V203" s="17"/>
      <c r="W203" s="38"/>
      <c r="X203" s="12"/>
      <c r="Y203" s="17"/>
      <c r="Z203" s="67"/>
      <c r="AA203" s="66"/>
    </row>
    <row r="204" spans="1:27" s="100" customFormat="1" ht="70">
      <c r="A204" s="13" t="s">
        <v>2559</v>
      </c>
      <c r="B204" s="13" t="s">
        <v>11</v>
      </c>
      <c r="C204" s="12">
        <v>203</v>
      </c>
      <c r="D204" s="38" t="s">
        <v>89</v>
      </c>
      <c r="E204" s="15"/>
      <c r="F204" s="12" t="s">
        <v>841</v>
      </c>
      <c r="G204" s="12" t="s">
        <v>803</v>
      </c>
      <c r="H204" s="12" t="s">
        <v>54</v>
      </c>
      <c r="I204" s="33" t="s">
        <v>90</v>
      </c>
      <c r="J204" s="12">
        <v>2023</v>
      </c>
      <c r="K204" s="12">
        <v>2024</v>
      </c>
      <c r="L204" s="15" t="s">
        <v>91</v>
      </c>
      <c r="M204" s="15" t="s">
        <v>842</v>
      </c>
      <c r="N204" s="12"/>
      <c r="O204" s="16" t="s">
        <v>59</v>
      </c>
      <c r="P204" s="12" t="s">
        <v>57</v>
      </c>
      <c r="Q204" s="15" t="s">
        <v>859</v>
      </c>
      <c r="R204" s="15" t="s">
        <v>860</v>
      </c>
      <c r="S204" s="28" t="s">
        <v>2631</v>
      </c>
      <c r="T204" s="12">
        <v>0</v>
      </c>
      <c r="U204" s="12"/>
      <c r="V204" s="17"/>
      <c r="W204" s="38"/>
      <c r="X204" s="12"/>
      <c r="Y204" s="17"/>
      <c r="Z204" s="67"/>
      <c r="AA204" s="66"/>
    </row>
    <row r="205" spans="1:27" s="78" customFormat="1" ht="35">
      <c r="A205" s="13" t="s">
        <v>2559</v>
      </c>
      <c r="B205" s="13" t="s">
        <v>11</v>
      </c>
      <c r="C205" s="12">
        <v>204</v>
      </c>
      <c r="D205" s="33" t="s">
        <v>1345</v>
      </c>
      <c r="E205" s="15" t="s">
        <v>1346</v>
      </c>
      <c r="F205" s="12" t="s">
        <v>224</v>
      </c>
      <c r="G205" s="13" t="s">
        <v>3153</v>
      </c>
      <c r="H205" s="12" t="s">
        <v>1132</v>
      </c>
      <c r="I205" s="33" t="s">
        <v>83</v>
      </c>
      <c r="J205" s="12">
        <v>2009</v>
      </c>
      <c r="K205" s="13">
        <v>2009</v>
      </c>
      <c r="L205" s="13" t="s">
        <v>2549</v>
      </c>
      <c r="M205" s="15" t="s">
        <v>842</v>
      </c>
      <c r="N205" s="12"/>
      <c r="O205" s="16" t="s">
        <v>604</v>
      </c>
      <c r="P205" s="16" t="s">
        <v>10</v>
      </c>
      <c r="Q205" s="15" t="s">
        <v>891</v>
      </c>
      <c r="R205" s="15" t="s">
        <v>93</v>
      </c>
      <c r="S205" s="28" t="s">
        <v>2631</v>
      </c>
      <c r="T205" s="12">
        <v>0</v>
      </c>
      <c r="U205" s="12"/>
      <c r="V205" s="17"/>
      <c r="W205" s="38"/>
      <c r="X205" s="12"/>
      <c r="Y205" s="17"/>
      <c r="Z205" s="67"/>
      <c r="AA205" s="66"/>
    </row>
    <row r="206" spans="1:27" s="78" customFormat="1" ht="140">
      <c r="A206" s="13" t="s">
        <v>2559</v>
      </c>
      <c r="B206" s="13" t="s">
        <v>11</v>
      </c>
      <c r="C206" s="12">
        <v>205</v>
      </c>
      <c r="D206" s="33" t="s">
        <v>1399</v>
      </c>
      <c r="E206" s="15" t="s">
        <v>1400</v>
      </c>
      <c r="F206" s="12" t="s">
        <v>58</v>
      </c>
      <c r="G206" s="13" t="s">
        <v>3165</v>
      </c>
      <c r="H206" s="12" t="s">
        <v>1132</v>
      </c>
      <c r="I206" s="33" t="s">
        <v>137</v>
      </c>
      <c r="J206" s="12">
        <v>2013</v>
      </c>
      <c r="K206" s="13">
        <v>2014</v>
      </c>
      <c r="L206" s="13" t="s">
        <v>136</v>
      </c>
      <c r="M206" s="15" t="s">
        <v>2163</v>
      </c>
      <c r="N206" s="12" t="s">
        <v>3203</v>
      </c>
      <c r="O206" s="16" t="s">
        <v>59</v>
      </c>
      <c r="P206" s="16" t="s">
        <v>10</v>
      </c>
      <c r="Q206" s="16" t="s">
        <v>859</v>
      </c>
      <c r="R206" s="15" t="s">
        <v>93</v>
      </c>
      <c r="S206" s="28" t="s">
        <v>2631</v>
      </c>
      <c r="T206" s="12">
        <v>0</v>
      </c>
      <c r="U206" s="12"/>
      <c r="V206" s="17"/>
      <c r="W206" s="38"/>
      <c r="X206" s="12"/>
      <c r="Y206" s="17"/>
      <c r="Z206" s="67"/>
      <c r="AA206" s="66"/>
    </row>
    <row r="207" spans="1:27" s="78" customFormat="1" ht="105">
      <c r="A207" s="13" t="s">
        <v>2559</v>
      </c>
      <c r="B207" s="13" t="s">
        <v>11</v>
      </c>
      <c r="C207" s="12">
        <v>206</v>
      </c>
      <c r="D207" s="33" t="s">
        <v>1401</v>
      </c>
      <c r="E207" s="15" t="s">
        <v>1402</v>
      </c>
      <c r="F207" s="12" t="s">
        <v>58</v>
      </c>
      <c r="G207" s="13" t="s">
        <v>3165</v>
      </c>
      <c r="H207" s="12" t="s">
        <v>1132</v>
      </c>
      <c r="I207" s="33" t="s">
        <v>137</v>
      </c>
      <c r="J207" s="12">
        <v>2013</v>
      </c>
      <c r="K207" s="13">
        <v>2014</v>
      </c>
      <c r="L207" s="13" t="s">
        <v>136</v>
      </c>
      <c r="M207" s="15" t="s">
        <v>2163</v>
      </c>
      <c r="N207" s="12" t="s">
        <v>3203</v>
      </c>
      <c r="O207" s="16" t="s">
        <v>59</v>
      </c>
      <c r="P207" s="16" t="s">
        <v>10</v>
      </c>
      <c r="Q207" s="16" t="s">
        <v>859</v>
      </c>
      <c r="R207" s="15" t="s">
        <v>93</v>
      </c>
      <c r="S207" s="28" t="s">
        <v>2631</v>
      </c>
      <c r="T207" s="12">
        <v>0</v>
      </c>
      <c r="U207" s="12"/>
      <c r="V207" s="17"/>
      <c r="W207" s="38"/>
      <c r="X207" s="12"/>
      <c r="Y207" s="17"/>
      <c r="Z207" s="67"/>
      <c r="AA207" s="66"/>
    </row>
    <row r="208" spans="1:27" s="100" customFormat="1" ht="52.5">
      <c r="A208" s="13" t="s">
        <v>2559</v>
      </c>
      <c r="B208" s="13" t="s">
        <v>11</v>
      </c>
      <c r="C208" s="12">
        <v>207</v>
      </c>
      <c r="D208" s="33" t="s">
        <v>1397</v>
      </c>
      <c r="E208" s="15" t="s">
        <v>1398</v>
      </c>
      <c r="F208" s="12" t="s">
        <v>58</v>
      </c>
      <c r="G208" s="13" t="s">
        <v>3165</v>
      </c>
      <c r="H208" s="12" t="s">
        <v>1132</v>
      </c>
      <c r="I208" s="33" t="s">
        <v>135</v>
      </c>
      <c r="J208" s="12">
        <v>2014</v>
      </c>
      <c r="K208" s="13">
        <v>2015</v>
      </c>
      <c r="L208" s="13" t="s">
        <v>136</v>
      </c>
      <c r="M208" s="15" t="s">
        <v>2163</v>
      </c>
      <c r="N208" s="12" t="s">
        <v>3203</v>
      </c>
      <c r="O208" s="16" t="s">
        <v>59</v>
      </c>
      <c r="P208" s="16" t="s">
        <v>10</v>
      </c>
      <c r="Q208" s="16" t="s">
        <v>901</v>
      </c>
      <c r="R208" s="15" t="s">
        <v>93</v>
      </c>
      <c r="S208" s="28" t="s">
        <v>2629</v>
      </c>
      <c r="T208" s="12">
        <v>1</v>
      </c>
      <c r="U208" s="12" t="s">
        <v>2964</v>
      </c>
      <c r="V208" s="17" t="s">
        <v>3001</v>
      </c>
      <c r="W208" s="38" t="s">
        <v>1605</v>
      </c>
      <c r="X208" s="12" t="s">
        <v>1595</v>
      </c>
      <c r="Y208" s="17" t="s">
        <v>1606</v>
      </c>
      <c r="Z208" s="67"/>
      <c r="AA208" s="66"/>
    </row>
    <row r="209" spans="1:27" s="78" customFormat="1" ht="52.5">
      <c r="A209" s="13" t="s">
        <v>2559</v>
      </c>
      <c r="B209" s="13" t="s">
        <v>11</v>
      </c>
      <c r="C209" s="12">
        <v>208</v>
      </c>
      <c r="D209" s="33" t="s">
        <v>1403</v>
      </c>
      <c r="E209" s="15" t="s">
        <v>1404</v>
      </c>
      <c r="F209" s="12" t="s">
        <v>770</v>
      </c>
      <c r="G209" s="13" t="s">
        <v>138</v>
      </c>
      <c r="H209" s="12" t="s">
        <v>1132</v>
      </c>
      <c r="I209" s="33" t="s">
        <v>139</v>
      </c>
      <c r="J209" s="12">
        <v>2016</v>
      </c>
      <c r="K209" s="13">
        <v>2019</v>
      </c>
      <c r="L209" s="13" t="s">
        <v>136</v>
      </c>
      <c r="M209" s="15" t="s">
        <v>2163</v>
      </c>
      <c r="N209" s="12"/>
      <c r="O209" s="16" t="s">
        <v>59</v>
      </c>
      <c r="P209" s="16" t="s">
        <v>10</v>
      </c>
      <c r="Q209" s="16" t="s">
        <v>859</v>
      </c>
      <c r="R209" s="15" t="s">
        <v>93</v>
      </c>
      <c r="S209" s="28" t="s">
        <v>2631</v>
      </c>
      <c r="T209" s="12">
        <v>0</v>
      </c>
      <c r="U209" s="12"/>
      <c r="V209" s="17"/>
      <c r="W209" s="38"/>
      <c r="X209" s="12"/>
      <c r="Y209" s="17"/>
      <c r="Z209" s="67"/>
      <c r="AA209" s="66"/>
    </row>
    <row r="210" spans="1:27" s="78" customFormat="1" ht="192.5">
      <c r="A210" s="13" t="s">
        <v>2559</v>
      </c>
      <c r="B210" s="13" t="s">
        <v>11</v>
      </c>
      <c r="C210" s="12">
        <v>209</v>
      </c>
      <c r="D210" s="38" t="s">
        <v>1280</v>
      </c>
      <c r="E210" s="15" t="s">
        <v>1670</v>
      </c>
      <c r="F210" s="12" t="s">
        <v>58</v>
      </c>
      <c r="G210" s="13" t="s">
        <v>799</v>
      </c>
      <c r="H210" s="12" t="s">
        <v>1132</v>
      </c>
      <c r="I210" s="15" t="s">
        <v>436</v>
      </c>
      <c r="J210" s="12">
        <v>2021</v>
      </c>
      <c r="K210" s="12">
        <v>2023</v>
      </c>
      <c r="L210" s="15" t="s">
        <v>391</v>
      </c>
      <c r="M210" s="15" t="s">
        <v>439</v>
      </c>
      <c r="N210" s="15" t="s">
        <v>3192</v>
      </c>
      <c r="O210" s="16" t="s">
        <v>59</v>
      </c>
      <c r="P210" s="12" t="s">
        <v>57</v>
      </c>
      <c r="Q210" s="16" t="s">
        <v>910</v>
      </c>
      <c r="R210" s="15" t="s">
        <v>23</v>
      </c>
      <c r="S210" s="28" t="s">
        <v>2629</v>
      </c>
      <c r="T210" s="12">
        <v>2</v>
      </c>
      <c r="U210" s="12" t="s">
        <v>1281</v>
      </c>
      <c r="V210" s="17" t="s">
        <v>438</v>
      </c>
      <c r="W210" s="38" t="s">
        <v>437</v>
      </c>
      <c r="X210" s="12" t="s">
        <v>1244</v>
      </c>
      <c r="Y210" s="17" t="s">
        <v>959</v>
      </c>
      <c r="Z210" s="83"/>
      <c r="AA210" s="66"/>
    </row>
    <row r="211" spans="1:27" s="100" customFormat="1" ht="70">
      <c r="A211" s="13" t="s">
        <v>2559</v>
      </c>
      <c r="B211" s="13" t="s">
        <v>11</v>
      </c>
      <c r="C211" s="12">
        <v>210</v>
      </c>
      <c r="D211" s="38" t="s">
        <v>957</v>
      </c>
      <c r="E211" s="15" t="s">
        <v>958</v>
      </c>
      <c r="F211" s="12" t="s">
        <v>433</v>
      </c>
      <c r="G211" s="12" t="s">
        <v>808</v>
      </c>
      <c r="H211" s="12" t="s">
        <v>164</v>
      </c>
      <c r="I211" s="16" t="s">
        <v>434</v>
      </c>
      <c r="J211" s="12">
        <v>2023</v>
      </c>
      <c r="K211" s="12">
        <v>2024</v>
      </c>
      <c r="L211" s="15" t="s">
        <v>959</v>
      </c>
      <c r="M211" s="15" t="s">
        <v>439</v>
      </c>
      <c r="N211" s="12"/>
      <c r="O211" s="16" t="s">
        <v>59</v>
      </c>
      <c r="P211" s="12" t="s">
        <v>57</v>
      </c>
      <c r="Q211" s="15" t="s">
        <v>910</v>
      </c>
      <c r="R211" s="15" t="s">
        <v>23</v>
      </c>
      <c r="S211" s="28" t="s">
        <v>2631</v>
      </c>
      <c r="T211" s="12">
        <v>0</v>
      </c>
      <c r="U211" s="12"/>
      <c r="V211" s="17"/>
      <c r="W211" s="38"/>
      <c r="X211" s="12"/>
      <c r="Y211" s="17"/>
      <c r="Z211" s="67"/>
      <c r="AA211" s="66"/>
    </row>
    <row r="212" spans="1:27" s="100" customFormat="1" ht="140">
      <c r="A212" s="13" t="s">
        <v>2559</v>
      </c>
      <c r="B212" s="13" t="s">
        <v>11</v>
      </c>
      <c r="C212" s="12">
        <v>211</v>
      </c>
      <c r="D212" s="38" t="s">
        <v>960</v>
      </c>
      <c r="E212" s="15" t="s">
        <v>961</v>
      </c>
      <c r="F212" s="12" t="s">
        <v>2</v>
      </c>
      <c r="G212" s="346" t="s">
        <v>2915</v>
      </c>
      <c r="H212" s="12" t="s">
        <v>164</v>
      </c>
      <c r="I212" s="16" t="s">
        <v>435</v>
      </c>
      <c r="J212" s="12">
        <v>2023</v>
      </c>
      <c r="K212" s="12">
        <v>2025</v>
      </c>
      <c r="L212" s="15" t="s">
        <v>959</v>
      </c>
      <c r="M212" s="15" t="s">
        <v>439</v>
      </c>
      <c r="N212" s="351" t="s">
        <v>3192</v>
      </c>
      <c r="O212" s="16" t="s">
        <v>59</v>
      </c>
      <c r="P212" s="12" t="s">
        <v>57</v>
      </c>
      <c r="Q212" s="15" t="s">
        <v>910</v>
      </c>
      <c r="R212" s="15" t="s">
        <v>23</v>
      </c>
      <c r="S212" s="28" t="s">
        <v>2631</v>
      </c>
      <c r="T212" s="12">
        <v>0</v>
      </c>
      <c r="U212" s="12"/>
      <c r="V212" s="17"/>
      <c r="W212" s="38"/>
      <c r="X212" s="12"/>
      <c r="Y212" s="17"/>
      <c r="Z212" s="67"/>
      <c r="AA212" s="66"/>
    </row>
    <row r="213" spans="1:27" s="78" customFormat="1" ht="70">
      <c r="A213" s="13" t="s">
        <v>2559</v>
      </c>
      <c r="B213" s="13" t="s">
        <v>11</v>
      </c>
      <c r="C213" s="12">
        <v>212</v>
      </c>
      <c r="D213" s="38" t="s">
        <v>2139</v>
      </c>
      <c r="E213" s="15" t="s">
        <v>2140</v>
      </c>
      <c r="F213" s="12" t="s">
        <v>2</v>
      </c>
      <c r="G213" s="12" t="s">
        <v>781</v>
      </c>
      <c r="H213" s="12" t="s">
        <v>1132</v>
      </c>
      <c r="I213" s="87" t="s">
        <v>2141</v>
      </c>
      <c r="J213" s="12">
        <v>2022</v>
      </c>
      <c r="K213" s="12">
        <v>2023</v>
      </c>
      <c r="L213" s="15" t="s">
        <v>2134</v>
      </c>
      <c r="M213" s="15" t="s">
        <v>3067</v>
      </c>
      <c r="N213" s="12" t="s">
        <v>1134</v>
      </c>
      <c r="O213" s="16" t="s">
        <v>59</v>
      </c>
      <c r="P213" s="12" t="s">
        <v>57</v>
      </c>
      <c r="Q213" s="15" t="s">
        <v>859</v>
      </c>
      <c r="R213" s="15" t="s">
        <v>860</v>
      </c>
      <c r="S213" s="28" t="s">
        <v>2631</v>
      </c>
      <c r="T213" s="12">
        <v>0</v>
      </c>
      <c r="U213" s="12"/>
      <c r="V213" s="17"/>
      <c r="W213" s="38"/>
      <c r="X213" s="12"/>
      <c r="Y213" s="17"/>
      <c r="Z213" s="67"/>
      <c r="AA213" s="66"/>
    </row>
    <row r="214" spans="1:27" s="78" customFormat="1" ht="52.5">
      <c r="A214" s="13" t="s">
        <v>2559</v>
      </c>
      <c r="B214" s="13" t="s">
        <v>11</v>
      </c>
      <c r="C214" s="12">
        <v>213</v>
      </c>
      <c r="D214" s="38" t="s">
        <v>2142</v>
      </c>
      <c r="E214" s="15" t="s">
        <v>2143</v>
      </c>
      <c r="F214" s="12" t="s">
        <v>2</v>
      </c>
      <c r="G214" s="12" t="s">
        <v>202</v>
      </c>
      <c r="H214" s="12" t="s">
        <v>164</v>
      </c>
      <c r="I214" s="87" t="s">
        <v>2144</v>
      </c>
      <c r="J214" s="12">
        <v>2024</v>
      </c>
      <c r="K214" s="12">
        <v>2026</v>
      </c>
      <c r="L214" s="15" t="s">
        <v>2134</v>
      </c>
      <c r="M214" s="15" t="s">
        <v>2145</v>
      </c>
      <c r="N214" s="12" t="s">
        <v>1134</v>
      </c>
      <c r="O214" s="16" t="s">
        <v>93</v>
      </c>
      <c r="P214" s="12"/>
      <c r="Q214" s="15" t="s">
        <v>859</v>
      </c>
      <c r="R214" s="15" t="s">
        <v>860</v>
      </c>
      <c r="S214" s="28" t="s">
        <v>2631</v>
      </c>
      <c r="T214" s="12">
        <v>0</v>
      </c>
      <c r="U214" s="12"/>
      <c r="V214" s="17"/>
      <c r="W214" s="38"/>
      <c r="X214" s="12"/>
      <c r="Y214" s="17"/>
      <c r="Z214" s="67"/>
      <c r="AA214" s="66" t="s">
        <v>2794</v>
      </c>
    </row>
    <row r="215" spans="1:27" s="78" customFormat="1" ht="52.5">
      <c r="A215" s="13" t="s">
        <v>2559</v>
      </c>
      <c r="B215" s="13" t="s">
        <v>11</v>
      </c>
      <c r="C215" s="12">
        <v>214</v>
      </c>
      <c r="D215" s="38" t="s">
        <v>2150</v>
      </c>
      <c r="E215" s="15" t="s">
        <v>2151</v>
      </c>
      <c r="F215" s="12" t="s">
        <v>2</v>
      </c>
      <c r="G215" s="12" t="s">
        <v>794</v>
      </c>
      <c r="H215" s="12" t="s">
        <v>164</v>
      </c>
      <c r="I215" s="87" t="s">
        <v>2152</v>
      </c>
      <c r="J215" s="12">
        <v>2024</v>
      </c>
      <c r="K215" s="164">
        <v>2025</v>
      </c>
      <c r="L215" s="16" t="s">
        <v>2201</v>
      </c>
      <c r="M215" s="15" t="s">
        <v>3068</v>
      </c>
      <c r="N215" s="162" t="s">
        <v>2694</v>
      </c>
      <c r="O215" s="16" t="s">
        <v>59</v>
      </c>
      <c r="P215" s="12" t="s">
        <v>57</v>
      </c>
      <c r="Q215" s="15" t="s">
        <v>859</v>
      </c>
      <c r="R215" s="15" t="s">
        <v>860</v>
      </c>
      <c r="S215" s="28" t="s">
        <v>2631</v>
      </c>
      <c r="T215" s="12">
        <v>0</v>
      </c>
      <c r="U215" s="12"/>
      <c r="V215" s="17"/>
      <c r="W215" s="38"/>
      <c r="X215" s="12"/>
      <c r="Y215" s="17"/>
      <c r="Z215" s="67"/>
      <c r="AA215" s="66"/>
    </row>
    <row r="216" spans="1:27" s="78" customFormat="1" ht="70">
      <c r="A216" s="13" t="s">
        <v>2559</v>
      </c>
      <c r="B216" s="13" t="s">
        <v>56</v>
      </c>
      <c r="C216" s="12">
        <v>215</v>
      </c>
      <c r="D216" s="33" t="s">
        <v>1473</v>
      </c>
      <c r="E216" s="15" t="s">
        <v>1474</v>
      </c>
      <c r="F216" s="12" t="s">
        <v>58</v>
      </c>
      <c r="G216" s="13" t="s">
        <v>246</v>
      </c>
      <c r="H216" s="12" t="s">
        <v>1132</v>
      </c>
      <c r="I216" s="33" t="s">
        <v>247</v>
      </c>
      <c r="J216" s="12">
        <v>2009</v>
      </c>
      <c r="K216" s="13">
        <v>2012</v>
      </c>
      <c r="L216" s="13" t="s">
        <v>248</v>
      </c>
      <c r="M216" s="15" t="s">
        <v>2033</v>
      </c>
      <c r="N216" s="12"/>
      <c r="O216" s="16" t="s">
        <v>59</v>
      </c>
      <c r="P216" s="16" t="s">
        <v>57</v>
      </c>
      <c r="Q216" s="15" t="s">
        <v>859</v>
      </c>
      <c r="R216" s="15" t="s">
        <v>861</v>
      </c>
      <c r="S216" s="28" t="s">
        <v>2631</v>
      </c>
      <c r="T216" s="12">
        <v>0</v>
      </c>
      <c r="U216" s="12"/>
      <c r="V216" s="17"/>
      <c r="W216" s="38"/>
      <c r="X216" s="12"/>
      <c r="Y216" s="17"/>
      <c r="Z216" s="67"/>
      <c r="AA216" s="66"/>
    </row>
    <row r="217" spans="1:27" s="78" customFormat="1" ht="87.5">
      <c r="A217" s="13" t="s">
        <v>2559</v>
      </c>
      <c r="B217" s="13" t="s">
        <v>56</v>
      </c>
      <c r="C217" s="12">
        <v>216</v>
      </c>
      <c r="D217" s="33" t="s">
        <v>1475</v>
      </c>
      <c r="E217" s="15" t="s">
        <v>1476</v>
      </c>
      <c r="F217" s="12" t="s">
        <v>58</v>
      </c>
      <c r="G217" s="13" t="s">
        <v>249</v>
      </c>
      <c r="H217" s="12" t="s">
        <v>1132</v>
      </c>
      <c r="I217" s="33" t="s">
        <v>250</v>
      </c>
      <c r="J217" s="12">
        <v>2012</v>
      </c>
      <c r="K217" s="13">
        <v>2015</v>
      </c>
      <c r="L217" s="13" t="s">
        <v>248</v>
      </c>
      <c r="M217" s="15" t="s">
        <v>2033</v>
      </c>
      <c r="N217" s="12"/>
      <c r="O217" s="16" t="s">
        <v>59</v>
      </c>
      <c r="P217" s="16" t="s">
        <v>57</v>
      </c>
      <c r="Q217" s="15" t="s">
        <v>859</v>
      </c>
      <c r="R217" s="15" t="s">
        <v>860</v>
      </c>
      <c r="S217" s="28" t="s">
        <v>2629</v>
      </c>
      <c r="T217" s="12">
        <v>1</v>
      </c>
      <c r="U217" s="12" t="s">
        <v>2964</v>
      </c>
      <c r="V217" s="17" t="s">
        <v>3002</v>
      </c>
      <c r="W217" s="38" t="s">
        <v>1615</v>
      </c>
      <c r="X217" s="12" t="s">
        <v>1595</v>
      </c>
      <c r="Y217" s="17" t="s">
        <v>1619</v>
      </c>
      <c r="Z217" s="67"/>
      <c r="AA217" s="66"/>
    </row>
    <row r="218" spans="1:27" s="78" customFormat="1" ht="175">
      <c r="A218" s="13" t="s">
        <v>2559</v>
      </c>
      <c r="B218" s="13" t="s">
        <v>56</v>
      </c>
      <c r="C218" s="12">
        <v>217</v>
      </c>
      <c r="D218" s="33" t="s">
        <v>1477</v>
      </c>
      <c r="E218" s="15" t="s">
        <v>1478</v>
      </c>
      <c r="F218" s="12" t="s">
        <v>58</v>
      </c>
      <c r="G218" s="13" t="s">
        <v>251</v>
      </c>
      <c r="H218" s="12" t="s">
        <v>1132</v>
      </c>
      <c r="I218" s="33" t="s">
        <v>252</v>
      </c>
      <c r="J218" s="12">
        <v>2013</v>
      </c>
      <c r="K218" s="13">
        <v>2016</v>
      </c>
      <c r="L218" s="13" t="s">
        <v>248</v>
      </c>
      <c r="M218" s="15" t="s">
        <v>2033</v>
      </c>
      <c r="N218" s="346" t="s">
        <v>3206</v>
      </c>
      <c r="O218" s="16" t="s">
        <v>59</v>
      </c>
      <c r="P218" s="16" t="s">
        <v>57</v>
      </c>
      <c r="Q218" s="15" t="s">
        <v>859</v>
      </c>
      <c r="R218" s="15" t="s">
        <v>861</v>
      </c>
      <c r="S218" s="28" t="s">
        <v>2629</v>
      </c>
      <c r="T218" s="12">
        <v>2</v>
      </c>
      <c r="U218" s="15" t="s">
        <v>2979</v>
      </c>
      <c r="V218" s="30" t="s">
        <v>3003</v>
      </c>
      <c r="W218" s="38" t="s">
        <v>1616</v>
      </c>
      <c r="X218" s="15" t="s">
        <v>895</v>
      </c>
      <c r="Y218" s="30" t="s">
        <v>1620</v>
      </c>
      <c r="Z218" s="67"/>
      <c r="AA218" s="66"/>
    </row>
    <row r="219" spans="1:27" s="78" customFormat="1" ht="52.5">
      <c r="A219" s="13" t="s">
        <v>2559</v>
      </c>
      <c r="B219" s="13" t="s">
        <v>56</v>
      </c>
      <c r="C219" s="12">
        <v>218</v>
      </c>
      <c r="D219" s="33" t="s">
        <v>1479</v>
      </c>
      <c r="E219" s="15" t="s">
        <v>1480</v>
      </c>
      <c r="F219" s="12" t="s">
        <v>58</v>
      </c>
      <c r="G219" s="13" t="s">
        <v>253</v>
      </c>
      <c r="H219" s="12" t="s">
        <v>1132</v>
      </c>
      <c r="I219" s="33" t="s">
        <v>254</v>
      </c>
      <c r="J219" s="12">
        <v>2014</v>
      </c>
      <c r="K219" s="13">
        <v>2017</v>
      </c>
      <c r="L219" s="13" t="s">
        <v>248</v>
      </c>
      <c r="M219" s="15" t="s">
        <v>2033</v>
      </c>
      <c r="N219" s="352" t="s">
        <v>3206</v>
      </c>
      <c r="O219" s="16" t="s">
        <v>59</v>
      </c>
      <c r="P219" s="16" t="s">
        <v>57</v>
      </c>
      <c r="Q219" s="15" t="s">
        <v>859</v>
      </c>
      <c r="R219" s="15" t="s">
        <v>860</v>
      </c>
      <c r="S219" s="28" t="s">
        <v>2631</v>
      </c>
      <c r="T219" s="12">
        <v>0</v>
      </c>
      <c r="U219" s="12"/>
      <c r="V219" s="17"/>
      <c r="W219" s="38"/>
      <c r="X219" s="12"/>
      <c r="Y219" s="17"/>
      <c r="Z219" s="67"/>
      <c r="AA219" s="66"/>
    </row>
    <row r="220" spans="1:27" s="78" customFormat="1" ht="70">
      <c r="A220" s="13" t="s">
        <v>2559</v>
      </c>
      <c r="B220" s="13" t="s">
        <v>11</v>
      </c>
      <c r="C220" s="12">
        <v>219</v>
      </c>
      <c r="D220" s="33" t="s">
        <v>1250</v>
      </c>
      <c r="E220" s="16" t="s">
        <v>1254</v>
      </c>
      <c r="F220" s="12" t="s">
        <v>224</v>
      </c>
      <c r="G220" s="13" t="s">
        <v>798</v>
      </c>
      <c r="H220" s="12" t="s">
        <v>1132</v>
      </c>
      <c r="I220" s="33" t="s">
        <v>333</v>
      </c>
      <c r="J220" s="12">
        <v>2015</v>
      </c>
      <c r="K220" s="12">
        <v>2023</v>
      </c>
      <c r="L220" s="16" t="s">
        <v>248</v>
      </c>
      <c r="M220" s="16" t="s">
        <v>2282</v>
      </c>
      <c r="N220" s="12"/>
      <c r="O220" s="16" t="s">
        <v>59</v>
      </c>
      <c r="P220" s="12" t="s">
        <v>57</v>
      </c>
      <c r="Q220" s="16" t="s">
        <v>859</v>
      </c>
      <c r="R220" s="15" t="s">
        <v>860</v>
      </c>
      <c r="S220" s="28" t="s">
        <v>2629</v>
      </c>
      <c r="T220" s="12">
        <v>1</v>
      </c>
      <c r="U220" s="12" t="s">
        <v>2964</v>
      </c>
      <c r="V220" s="17" t="s">
        <v>2696</v>
      </c>
      <c r="W220" s="38" t="s">
        <v>334</v>
      </c>
      <c r="X220" s="12" t="s">
        <v>1595</v>
      </c>
      <c r="Y220" s="17" t="s">
        <v>894</v>
      </c>
      <c r="Z220" s="66"/>
      <c r="AA220" s="66"/>
    </row>
    <row r="221" spans="1:27" s="78" customFormat="1" ht="70">
      <c r="A221" s="13" t="s">
        <v>2559</v>
      </c>
      <c r="B221" s="13" t="s">
        <v>56</v>
      </c>
      <c r="C221" s="12">
        <v>220</v>
      </c>
      <c r="D221" s="33" t="s">
        <v>1481</v>
      </c>
      <c r="E221" s="15" t="s">
        <v>1482</v>
      </c>
      <c r="F221" s="12" t="s">
        <v>58</v>
      </c>
      <c r="G221" s="13" t="s">
        <v>249</v>
      </c>
      <c r="H221" s="12" t="s">
        <v>1132</v>
      </c>
      <c r="I221" s="33" t="s">
        <v>255</v>
      </c>
      <c r="J221" s="12">
        <v>2015</v>
      </c>
      <c r="K221" s="13">
        <v>2018</v>
      </c>
      <c r="L221" s="13" t="s">
        <v>248</v>
      </c>
      <c r="M221" s="15" t="s">
        <v>2033</v>
      </c>
      <c r="N221" s="12"/>
      <c r="O221" s="16" t="s">
        <v>59</v>
      </c>
      <c r="P221" s="16" t="s">
        <v>57</v>
      </c>
      <c r="Q221" s="15" t="s">
        <v>859</v>
      </c>
      <c r="R221" s="15" t="s">
        <v>860</v>
      </c>
      <c r="S221" s="28" t="s">
        <v>2629</v>
      </c>
      <c r="T221" s="12">
        <v>1</v>
      </c>
      <c r="U221" s="12" t="s">
        <v>2964</v>
      </c>
      <c r="V221" s="17" t="s">
        <v>3004</v>
      </c>
      <c r="W221" s="38" t="s">
        <v>1617</v>
      </c>
      <c r="X221" s="12" t="s">
        <v>1595</v>
      </c>
      <c r="Y221" s="17" t="s">
        <v>1619</v>
      </c>
      <c r="Z221" s="67"/>
      <c r="AA221" s="66"/>
    </row>
    <row r="222" spans="1:27" s="78" customFormat="1" ht="52.5">
      <c r="A222" s="13" t="s">
        <v>2559</v>
      </c>
      <c r="B222" s="13" t="s">
        <v>56</v>
      </c>
      <c r="C222" s="12">
        <v>221</v>
      </c>
      <c r="D222" s="33" t="s">
        <v>1483</v>
      </c>
      <c r="E222" s="15" t="s">
        <v>1484</v>
      </c>
      <c r="F222" s="12" t="s">
        <v>58</v>
      </c>
      <c r="G222" s="13" t="s">
        <v>251</v>
      </c>
      <c r="H222" s="12" t="s">
        <v>1132</v>
      </c>
      <c r="I222" s="33" t="s">
        <v>256</v>
      </c>
      <c r="J222" s="12">
        <v>2015</v>
      </c>
      <c r="K222" s="13">
        <v>2018</v>
      </c>
      <c r="L222" s="13" t="s">
        <v>248</v>
      </c>
      <c r="M222" s="15" t="s">
        <v>2033</v>
      </c>
      <c r="N222" s="352" t="s">
        <v>3206</v>
      </c>
      <c r="O222" s="16" t="s">
        <v>59</v>
      </c>
      <c r="P222" s="16" t="s">
        <v>57</v>
      </c>
      <c r="Q222" s="15" t="s">
        <v>859</v>
      </c>
      <c r="R222" s="15" t="s">
        <v>860</v>
      </c>
      <c r="S222" s="28" t="s">
        <v>2629</v>
      </c>
      <c r="T222" s="12">
        <v>1</v>
      </c>
      <c r="U222" s="12" t="s">
        <v>2964</v>
      </c>
      <c r="V222" s="17" t="s">
        <v>3005</v>
      </c>
      <c r="W222" s="38" t="s">
        <v>1618</v>
      </c>
      <c r="X222" s="12" t="s">
        <v>1595</v>
      </c>
      <c r="Y222" s="17" t="s">
        <v>1619</v>
      </c>
      <c r="Z222" s="67"/>
      <c r="AA222" s="66"/>
    </row>
    <row r="223" spans="1:27" s="78" customFormat="1" ht="52.5">
      <c r="A223" s="13" t="s">
        <v>2559</v>
      </c>
      <c r="B223" s="13" t="s">
        <v>11</v>
      </c>
      <c r="C223" s="12">
        <v>222</v>
      </c>
      <c r="D223" s="33" t="s">
        <v>1251</v>
      </c>
      <c r="E223" s="16" t="s">
        <v>1255</v>
      </c>
      <c r="F223" s="12" t="s">
        <v>224</v>
      </c>
      <c r="G223" s="13" t="s">
        <v>798</v>
      </c>
      <c r="H223" s="12" t="s">
        <v>1132</v>
      </c>
      <c r="I223" s="33" t="s">
        <v>335</v>
      </c>
      <c r="J223" s="12">
        <v>2016</v>
      </c>
      <c r="K223" s="12">
        <v>2023</v>
      </c>
      <c r="L223" s="16" t="s">
        <v>248</v>
      </c>
      <c r="M223" s="16" t="s">
        <v>2282</v>
      </c>
      <c r="N223" s="12"/>
      <c r="O223" s="16" t="s">
        <v>59</v>
      </c>
      <c r="P223" s="12" t="s">
        <v>57</v>
      </c>
      <c r="Q223" s="16" t="s">
        <v>859</v>
      </c>
      <c r="R223" s="15" t="s">
        <v>860</v>
      </c>
      <c r="S223" s="28" t="s">
        <v>2631</v>
      </c>
      <c r="T223" s="12">
        <v>0</v>
      </c>
      <c r="U223" s="12"/>
      <c r="V223" s="17"/>
      <c r="W223" s="38"/>
      <c r="X223" s="12"/>
      <c r="Y223" s="17"/>
      <c r="Z223" s="83"/>
      <c r="AA223" s="66"/>
    </row>
    <row r="224" spans="1:27" s="78" customFormat="1" ht="52.5">
      <c r="A224" s="13" t="s">
        <v>2559</v>
      </c>
      <c r="B224" s="13" t="s">
        <v>11</v>
      </c>
      <c r="C224" s="12">
        <v>223</v>
      </c>
      <c r="D224" s="33" t="s">
        <v>1246</v>
      </c>
      <c r="E224" s="16" t="s">
        <v>1653</v>
      </c>
      <c r="F224" s="12" t="s">
        <v>58</v>
      </c>
      <c r="G224" s="13" t="s">
        <v>251</v>
      </c>
      <c r="H224" s="12" t="s">
        <v>1132</v>
      </c>
      <c r="I224" s="33" t="s">
        <v>329</v>
      </c>
      <c r="J224" s="12">
        <v>2018</v>
      </c>
      <c r="K224" s="12">
        <v>2021</v>
      </c>
      <c r="L224" s="16" t="s">
        <v>248</v>
      </c>
      <c r="M224" s="16" t="s">
        <v>2282</v>
      </c>
      <c r="N224" s="16" t="s">
        <v>3188</v>
      </c>
      <c r="O224" s="16" t="s">
        <v>59</v>
      </c>
      <c r="P224" s="12" t="s">
        <v>57</v>
      </c>
      <c r="Q224" s="16" t="s">
        <v>859</v>
      </c>
      <c r="R224" s="15" t="s">
        <v>860</v>
      </c>
      <c r="S224" s="28" t="s">
        <v>2631</v>
      </c>
      <c r="T224" s="12">
        <v>0</v>
      </c>
      <c r="U224" s="12"/>
      <c r="V224" s="17"/>
      <c r="W224" s="38"/>
      <c r="X224" s="12"/>
      <c r="Y224" s="17"/>
      <c r="Z224" s="83"/>
      <c r="AA224" s="66"/>
    </row>
    <row r="225" spans="1:27" s="78" customFormat="1" ht="70">
      <c r="A225" s="13" t="s">
        <v>2559</v>
      </c>
      <c r="B225" s="13" t="s">
        <v>11</v>
      </c>
      <c r="C225" s="12">
        <v>224</v>
      </c>
      <c r="D225" s="33" t="s">
        <v>1245</v>
      </c>
      <c r="E225" s="16" t="s">
        <v>1652</v>
      </c>
      <c r="F225" s="12" t="s">
        <v>58</v>
      </c>
      <c r="G225" s="13" t="s">
        <v>251</v>
      </c>
      <c r="H225" s="12" t="s">
        <v>1132</v>
      </c>
      <c r="I225" s="33" t="s">
        <v>328</v>
      </c>
      <c r="J225" s="12">
        <v>2019</v>
      </c>
      <c r="K225" s="12">
        <v>2020</v>
      </c>
      <c r="L225" s="16" t="s">
        <v>248</v>
      </c>
      <c r="M225" s="16" t="s">
        <v>2282</v>
      </c>
      <c r="N225" s="16" t="s">
        <v>3188</v>
      </c>
      <c r="O225" s="16" t="s">
        <v>59</v>
      </c>
      <c r="P225" s="12" t="s">
        <v>57</v>
      </c>
      <c r="Q225" s="16" t="s">
        <v>859</v>
      </c>
      <c r="R225" s="15" t="s">
        <v>860</v>
      </c>
      <c r="S225" s="28" t="s">
        <v>2631</v>
      </c>
      <c r="T225" s="12">
        <v>0</v>
      </c>
      <c r="U225" s="12"/>
      <c r="V225" s="17"/>
      <c r="W225" s="38"/>
      <c r="X225" s="12"/>
      <c r="Y225" s="17"/>
      <c r="Z225" s="83"/>
      <c r="AA225" s="168"/>
    </row>
    <row r="226" spans="1:27" s="78" customFormat="1" ht="122.5">
      <c r="A226" s="13" t="s">
        <v>2559</v>
      </c>
      <c r="B226" s="13" t="s">
        <v>11</v>
      </c>
      <c r="C226" s="12">
        <v>225</v>
      </c>
      <c r="D226" s="33" t="s">
        <v>896</v>
      </c>
      <c r="E226" s="16" t="s">
        <v>1654</v>
      </c>
      <c r="F226" s="12" t="s">
        <v>58</v>
      </c>
      <c r="G226" s="13" t="s">
        <v>251</v>
      </c>
      <c r="H226" s="12" t="s">
        <v>1132</v>
      </c>
      <c r="I226" s="33" t="s">
        <v>330</v>
      </c>
      <c r="J226" s="12">
        <v>2019</v>
      </c>
      <c r="K226" s="12">
        <v>2021</v>
      </c>
      <c r="L226" s="16" t="s">
        <v>248</v>
      </c>
      <c r="M226" s="16" t="s">
        <v>2282</v>
      </c>
      <c r="N226" s="16" t="s">
        <v>3188</v>
      </c>
      <c r="O226" s="16" t="s">
        <v>59</v>
      </c>
      <c r="P226" s="12" t="s">
        <v>57</v>
      </c>
      <c r="Q226" s="16" t="s">
        <v>859</v>
      </c>
      <c r="R226" s="15" t="s">
        <v>860</v>
      </c>
      <c r="S226" s="28" t="s">
        <v>2629</v>
      </c>
      <c r="T226" s="12">
        <v>2</v>
      </c>
      <c r="U226" s="15" t="s">
        <v>2956</v>
      </c>
      <c r="V226" s="30" t="s">
        <v>2927</v>
      </c>
      <c r="W226" s="38" t="s">
        <v>331</v>
      </c>
      <c r="X226" s="15" t="s">
        <v>2926</v>
      </c>
      <c r="Y226" s="30" t="s">
        <v>2928</v>
      </c>
      <c r="Z226" s="83"/>
      <c r="AA226" s="168"/>
    </row>
    <row r="227" spans="1:27" s="100" customFormat="1" ht="87.5">
      <c r="A227" s="13" t="s">
        <v>2559</v>
      </c>
      <c r="B227" s="13" t="s">
        <v>11</v>
      </c>
      <c r="C227" s="12">
        <v>226</v>
      </c>
      <c r="D227" s="33" t="s">
        <v>1249</v>
      </c>
      <c r="E227" s="16" t="s">
        <v>1655</v>
      </c>
      <c r="F227" s="12" t="s">
        <v>58</v>
      </c>
      <c r="G227" s="13" t="s">
        <v>251</v>
      </c>
      <c r="H227" s="12" t="s">
        <v>1132</v>
      </c>
      <c r="I227" s="33" t="s">
        <v>332</v>
      </c>
      <c r="J227" s="12">
        <v>2019</v>
      </c>
      <c r="K227" s="12">
        <v>2021</v>
      </c>
      <c r="L227" s="16" t="s">
        <v>894</v>
      </c>
      <c r="M227" s="16" t="s">
        <v>2282</v>
      </c>
      <c r="N227" s="13" t="s">
        <v>3188</v>
      </c>
      <c r="O227" s="16" t="s">
        <v>59</v>
      </c>
      <c r="P227" s="12" t="s">
        <v>57</v>
      </c>
      <c r="Q227" s="16" t="s">
        <v>859</v>
      </c>
      <c r="R227" s="15" t="s">
        <v>860</v>
      </c>
      <c r="S227" s="28" t="s">
        <v>2631</v>
      </c>
      <c r="T227" s="12">
        <v>0</v>
      </c>
      <c r="U227" s="12"/>
      <c r="V227" s="17"/>
      <c r="W227" s="38"/>
      <c r="X227" s="12"/>
      <c r="Y227" s="17"/>
      <c r="Z227" s="83"/>
      <c r="AA227" s="66"/>
    </row>
    <row r="228" spans="1:27" s="100" customFormat="1" ht="175">
      <c r="A228" s="13" t="s">
        <v>2559</v>
      </c>
      <c r="B228" s="13" t="s">
        <v>56</v>
      </c>
      <c r="C228" s="12">
        <v>227</v>
      </c>
      <c r="D228" s="33" t="s">
        <v>2031</v>
      </c>
      <c r="E228" s="16" t="s">
        <v>2032</v>
      </c>
      <c r="F228" s="13" t="s">
        <v>58</v>
      </c>
      <c r="G228" s="13" t="s">
        <v>251</v>
      </c>
      <c r="H228" s="13" t="s">
        <v>1132</v>
      </c>
      <c r="I228" s="33" t="s">
        <v>373</v>
      </c>
      <c r="J228" s="13">
        <v>2019</v>
      </c>
      <c r="K228" s="13">
        <v>2023</v>
      </c>
      <c r="L228" s="16" t="s">
        <v>248</v>
      </c>
      <c r="M228" s="16" t="s">
        <v>2033</v>
      </c>
      <c r="N228" s="16" t="s">
        <v>2695</v>
      </c>
      <c r="O228" s="16" t="s">
        <v>59</v>
      </c>
      <c r="P228" s="13" t="s">
        <v>57</v>
      </c>
      <c r="Q228" s="16" t="s">
        <v>859</v>
      </c>
      <c r="R228" s="16" t="s">
        <v>860</v>
      </c>
      <c r="S228" s="28" t="s">
        <v>2631</v>
      </c>
      <c r="T228" s="12">
        <v>0</v>
      </c>
      <c r="U228" s="12"/>
      <c r="V228" s="17"/>
      <c r="W228" s="38"/>
      <c r="X228" s="12"/>
      <c r="Y228" s="17"/>
      <c r="Z228" s="59"/>
      <c r="AA228" s="66"/>
    </row>
    <row r="229" spans="1:27" s="100" customFormat="1" ht="70">
      <c r="A229" s="13" t="s">
        <v>2559</v>
      </c>
      <c r="B229" s="13" t="s">
        <v>56</v>
      </c>
      <c r="C229" s="12">
        <v>228</v>
      </c>
      <c r="D229" s="33" t="s">
        <v>2034</v>
      </c>
      <c r="E229" s="16" t="s">
        <v>2035</v>
      </c>
      <c r="F229" s="13" t="s">
        <v>58</v>
      </c>
      <c r="G229" s="13" t="s">
        <v>251</v>
      </c>
      <c r="H229" s="13" t="s">
        <v>1132</v>
      </c>
      <c r="I229" s="33" t="s">
        <v>374</v>
      </c>
      <c r="J229" s="13">
        <v>2020</v>
      </c>
      <c r="K229" s="13">
        <v>2023</v>
      </c>
      <c r="L229" s="16" t="s">
        <v>248</v>
      </c>
      <c r="M229" s="16" t="s">
        <v>2033</v>
      </c>
      <c r="N229" s="16" t="s">
        <v>2695</v>
      </c>
      <c r="O229" s="16" t="s">
        <v>59</v>
      </c>
      <c r="P229" s="13" t="s">
        <v>57</v>
      </c>
      <c r="Q229" s="16" t="s">
        <v>859</v>
      </c>
      <c r="R229" s="16" t="s">
        <v>860</v>
      </c>
      <c r="S229" s="28" t="s">
        <v>2631</v>
      </c>
      <c r="T229" s="12">
        <v>0</v>
      </c>
      <c r="U229" s="12"/>
      <c r="V229" s="17"/>
      <c r="W229" s="38"/>
      <c r="X229" s="12"/>
      <c r="Y229" s="17"/>
      <c r="Z229" s="59"/>
      <c r="AA229" s="66"/>
    </row>
    <row r="230" spans="1:27" s="78" customFormat="1" ht="140">
      <c r="A230" s="13" t="s">
        <v>2559</v>
      </c>
      <c r="B230" s="13" t="s">
        <v>56</v>
      </c>
      <c r="C230" s="12">
        <v>229</v>
      </c>
      <c r="D230" s="33" t="s">
        <v>2036</v>
      </c>
      <c r="E230" s="16" t="s">
        <v>2037</v>
      </c>
      <c r="F230" s="13" t="s">
        <v>58</v>
      </c>
      <c r="G230" s="13" t="s">
        <v>251</v>
      </c>
      <c r="H230" s="13" t="s">
        <v>1132</v>
      </c>
      <c r="I230" s="33" t="s">
        <v>375</v>
      </c>
      <c r="J230" s="13">
        <v>2020</v>
      </c>
      <c r="K230" s="13">
        <v>2023</v>
      </c>
      <c r="L230" s="16" t="s">
        <v>248</v>
      </c>
      <c r="M230" s="16" t="s">
        <v>2033</v>
      </c>
      <c r="N230" s="16" t="s">
        <v>2695</v>
      </c>
      <c r="O230" s="16" t="s">
        <v>59</v>
      </c>
      <c r="P230" s="13" t="s">
        <v>57</v>
      </c>
      <c r="Q230" s="16" t="s">
        <v>859</v>
      </c>
      <c r="R230" s="16" t="s">
        <v>860</v>
      </c>
      <c r="S230" s="28" t="s">
        <v>2631</v>
      </c>
      <c r="T230" s="12">
        <v>0</v>
      </c>
      <c r="U230" s="12"/>
      <c r="V230" s="17"/>
      <c r="W230" s="38"/>
      <c r="X230" s="12"/>
      <c r="Y230" s="17"/>
      <c r="Z230" s="59"/>
      <c r="AA230" s="66"/>
    </row>
    <row r="231" spans="1:27" s="78" customFormat="1" ht="70">
      <c r="A231" s="13" t="s">
        <v>2559</v>
      </c>
      <c r="B231" s="13" t="s">
        <v>56</v>
      </c>
      <c r="C231" s="12">
        <v>230</v>
      </c>
      <c r="D231" s="33" t="s">
        <v>2081</v>
      </c>
      <c r="E231" s="16" t="s">
        <v>2082</v>
      </c>
      <c r="F231" s="13" t="s">
        <v>58</v>
      </c>
      <c r="G231" s="13" t="s">
        <v>251</v>
      </c>
      <c r="H231" s="13" t="s">
        <v>1132</v>
      </c>
      <c r="I231" s="14" t="s">
        <v>2083</v>
      </c>
      <c r="J231" s="13">
        <v>2020</v>
      </c>
      <c r="K231" s="13">
        <v>2023</v>
      </c>
      <c r="L231" s="16" t="s">
        <v>248</v>
      </c>
      <c r="M231" s="16" t="s">
        <v>2033</v>
      </c>
      <c r="N231" s="16" t="s">
        <v>2695</v>
      </c>
      <c r="O231" s="16" t="s">
        <v>59</v>
      </c>
      <c r="P231" s="13" t="s">
        <v>57</v>
      </c>
      <c r="Q231" s="16" t="s">
        <v>859</v>
      </c>
      <c r="R231" s="16" t="s">
        <v>860</v>
      </c>
      <c r="S231" s="28" t="s">
        <v>2631</v>
      </c>
      <c r="T231" s="12">
        <v>0</v>
      </c>
      <c r="U231" s="12"/>
      <c r="V231" s="17"/>
      <c r="W231" s="38"/>
      <c r="X231" s="12"/>
      <c r="Y231" s="17"/>
      <c r="Z231" s="59"/>
      <c r="AA231" s="66"/>
    </row>
    <row r="232" spans="1:27" s="78" customFormat="1" ht="122.5">
      <c r="A232" s="13" t="s">
        <v>2559</v>
      </c>
      <c r="B232" s="13" t="s">
        <v>56</v>
      </c>
      <c r="C232" s="12">
        <v>231</v>
      </c>
      <c r="D232" s="33" t="s">
        <v>2038</v>
      </c>
      <c r="E232" s="16" t="s">
        <v>2039</v>
      </c>
      <c r="F232" s="13" t="s">
        <v>58</v>
      </c>
      <c r="G232" s="13" t="s">
        <v>251</v>
      </c>
      <c r="H232" s="157" t="s">
        <v>1132</v>
      </c>
      <c r="I232" s="33" t="s">
        <v>376</v>
      </c>
      <c r="J232" s="13">
        <v>2021</v>
      </c>
      <c r="K232" s="13">
        <v>2025</v>
      </c>
      <c r="L232" s="16" t="s">
        <v>248</v>
      </c>
      <c r="M232" s="16" t="s">
        <v>2033</v>
      </c>
      <c r="N232" s="163" t="s">
        <v>2700</v>
      </c>
      <c r="O232" s="16" t="s">
        <v>59</v>
      </c>
      <c r="P232" s="13" t="s">
        <v>57</v>
      </c>
      <c r="Q232" s="16" t="s">
        <v>859</v>
      </c>
      <c r="R232" s="15" t="s">
        <v>860</v>
      </c>
      <c r="S232" s="28" t="s">
        <v>2629</v>
      </c>
      <c r="T232" s="12">
        <v>2</v>
      </c>
      <c r="U232" s="15" t="s">
        <v>2956</v>
      </c>
      <c r="V232" s="30" t="s">
        <v>3006</v>
      </c>
      <c r="W232" s="38" t="s">
        <v>2929</v>
      </c>
      <c r="X232" s="15" t="s">
        <v>2930</v>
      </c>
      <c r="Y232" s="30" t="s">
        <v>2931</v>
      </c>
      <c r="Z232" s="59"/>
      <c r="AA232" s="167"/>
    </row>
    <row r="233" spans="1:27" s="78" customFormat="1" ht="52.5">
      <c r="A233" s="13" t="s">
        <v>2559</v>
      </c>
      <c r="B233" s="13" t="s">
        <v>56</v>
      </c>
      <c r="C233" s="12">
        <v>232</v>
      </c>
      <c r="D233" s="33" t="s">
        <v>2050</v>
      </c>
      <c r="E233" s="16" t="s">
        <v>2051</v>
      </c>
      <c r="F233" s="13" t="s">
        <v>58</v>
      </c>
      <c r="G233" s="13" t="s">
        <v>251</v>
      </c>
      <c r="H233" s="157" t="s">
        <v>1132</v>
      </c>
      <c r="I233" s="33" t="s">
        <v>380</v>
      </c>
      <c r="J233" s="13">
        <v>2021</v>
      </c>
      <c r="K233" s="13">
        <v>2025</v>
      </c>
      <c r="L233" s="16" t="s">
        <v>248</v>
      </c>
      <c r="M233" s="16" t="s">
        <v>2033</v>
      </c>
      <c r="N233" s="163" t="s">
        <v>2700</v>
      </c>
      <c r="O233" s="16" t="s">
        <v>59</v>
      </c>
      <c r="P233" s="13" t="s">
        <v>57</v>
      </c>
      <c r="Q233" s="16" t="s">
        <v>859</v>
      </c>
      <c r="R233" s="15" t="s">
        <v>860</v>
      </c>
      <c r="S233" s="28" t="s">
        <v>2631</v>
      </c>
      <c r="T233" s="12">
        <v>0</v>
      </c>
      <c r="U233" s="12"/>
      <c r="V233" s="17"/>
      <c r="W233" s="38"/>
      <c r="X233" s="12"/>
      <c r="Y233" s="17"/>
      <c r="Z233" s="59"/>
      <c r="AA233" s="66"/>
    </row>
    <row r="234" spans="1:27" s="27" customFormat="1" ht="70">
      <c r="A234" s="13" t="s">
        <v>2559</v>
      </c>
      <c r="B234" s="13" t="s">
        <v>56</v>
      </c>
      <c r="C234" s="12">
        <v>233</v>
      </c>
      <c r="D234" s="33" t="s">
        <v>2041</v>
      </c>
      <c r="E234" s="16" t="s">
        <v>2042</v>
      </c>
      <c r="F234" s="13" t="s">
        <v>58</v>
      </c>
      <c r="G234" s="13" t="s">
        <v>2043</v>
      </c>
      <c r="H234" s="13" t="s">
        <v>1132</v>
      </c>
      <c r="I234" s="33" t="s">
        <v>377</v>
      </c>
      <c r="J234" s="13">
        <v>2022</v>
      </c>
      <c r="K234" s="13">
        <v>2024</v>
      </c>
      <c r="L234" s="16" t="s">
        <v>248</v>
      </c>
      <c r="M234" s="16" t="s">
        <v>2033</v>
      </c>
      <c r="N234" s="16" t="s">
        <v>2044</v>
      </c>
      <c r="O234" s="16" t="s">
        <v>59</v>
      </c>
      <c r="P234" s="13" t="s">
        <v>57</v>
      </c>
      <c r="Q234" s="16" t="s">
        <v>864</v>
      </c>
      <c r="R234" s="16" t="s">
        <v>43</v>
      </c>
      <c r="S234" s="28" t="s">
        <v>2631</v>
      </c>
      <c r="T234" s="12">
        <v>0</v>
      </c>
      <c r="U234" s="12"/>
      <c r="V234" s="17"/>
      <c r="W234" s="38"/>
      <c r="X234" s="12"/>
      <c r="Y234" s="17"/>
      <c r="Z234" s="59"/>
      <c r="AA234" s="56"/>
    </row>
    <row r="235" spans="1:27" s="78" customFormat="1" ht="70">
      <c r="A235" s="13" t="s">
        <v>2559</v>
      </c>
      <c r="B235" s="13" t="s">
        <v>56</v>
      </c>
      <c r="C235" s="12">
        <v>234</v>
      </c>
      <c r="D235" s="33" t="s">
        <v>2045</v>
      </c>
      <c r="E235" s="163" t="s">
        <v>2698</v>
      </c>
      <c r="F235" s="13" t="s">
        <v>58</v>
      </c>
      <c r="G235" s="352" t="s">
        <v>3194</v>
      </c>
      <c r="H235" s="157" t="s">
        <v>1132</v>
      </c>
      <c r="I235" s="33" t="s">
        <v>378</v>
      </c>
      <c r="J235" s="13">
        <v>2022</v>
      </c>
      <c r="K235" s="13">
        <v>2025</v>
      </c>
      <c r="L235" s="16" t="s">
        <v>248</v>
      </c>
      <c r="M235" s="16" t="s">
        <v>2033</v>
      </c>
      <c r="N235" s="137" t="s">
        <v>3195</v>
      </c>
      <c r="O235" s="16" t="s">
        <v>59</v>
      </c>
      <c r="P235" s="13" t="s">
        <v>57</v>
      </c>
      <c r="Q235" s="16" t="s">
        <v>864</v>
      </c>
      <c r="R235" s="16" t="s">
        <v>43</v>
      </c>
      <c r="S235" s="28" t="s">
        <v>2631</v>
      </c>
      <c r="T235" s="12">
        <v>0</v>
      </c>
      <c r="U235" s="12"/>
      <c r="V235" s="17"/>
      <c r="W235" s="38"/>
      <c r="X235" s="12"/>
      <c r="Y235" s="17"/>
      <c r="Z235" s="59"/>
      <c r="AA235" s="66"/>
    </row>
    <row r="236" spans="1:27" s="78" customFormat="1" ht="52.5">
      <c r="A236" s="13" t="s">
        <v>2559</v>
      </c>
      <c r="B236" s="13" t="s">
        <v>56</v>
      </c>
      <c r="C236" s="12">
        <v>235</v>
      </c>
      <c r="D236" s="33" t="s">
        <v>2046</v>
      </c>
      <c r="E236" s="16" t="s">
        <v>2047</v>
      </c>
      <c r="F236" s="13" t="s">
        <v>58</v>
      </c>
      <c r="G236" s="13" t="s">
        <v>2043</v>
      </c>
      <c r="H236" s="13" t="s">
        <v>1132</v>
      </c>
      <c r="I236" s="33" t="s">
        <v>379</v>
      </c>
      <c r="J236" s="13">
        <v>2022</v>
      </c>
      <c r="K236" s="13">
        <v>2024</v>
      </c>
      <c r="L236" s="16" t="s">
        <v>248</v>
      </c>
      <c r="M236" s="16" t="s">
        <v>2033</v>
      </c>
      <c r="N236" s="16" t="s">
        <v>2044</v>
      </c>
      <c r="O236" s="16" t="s">
        <v>59</v>
      </c>
      <c r="P236" s="13" t="s">
        <v>57</v>
      </c>
      <c r="Q236" s="16" t="s">
        <v>864</v>
      </c>
      <c r="R236" s="16" t="s">
        <v>43</v>
      </c>
      <c r="S236" s="28" t="s">
        <v>2631</v>
      </c>
      <c r="T236" s="12">
        <v>0</v>
      </c>
      <c r="U236" s="12"/>
      <c r="V236" s="17"/>
      <c r="W236" s="38"/>
      <c r="X236" s="12"/>
      <c r="Y236" s="17"/>
      <c r="Z236" s="59"/>
      <c r="AA236" s="56"/>
    </row>
    <row r="237" spans="1:27" s="78" customFormat="1" ht="87.5">
      <c r="A237" s="13" t="s">
        <v>2559</v>
      </c>
      <c r="B237" s="13" t="s">
        <v>56</v>
      </c>
      <c r="C237" s="12">
        <v>236</v>
      </c>
      <c r="D237" s="33" t="s">
        <v>2048</v>
      </c>
      <c r="E237" s="16" t="s">
        <v>2049</v>
      </c>
      <c r="F237" s="13" t="s">
        <v>58</v>
      </c>
      <c r="G237" s="13" t="s">
        <v>251</v>
      </c>
      <c r="H237" s="157" t="s">
        <v>1132</v>
      </c>
      <c r="I237" s="33" t="s">
        <v>330</v>
      </c>
      <c r="J237" s="13">
        <v>2023</v>
      </c>
      <c r="K237" s="13">
        <v>2025</v>
      </c>
      <c r="L237" s="16" t="s">
        <v>248</v>
      </c>
      <c r="M237" s="16" t="s">
        <v>2033</v>
      </c>
      <c r="N237" s="163" t="s">
        <v>2700</v>
      </c>
      <c r="O237" s="16" t="s">
        <v>59</v>
      </c>
      <c r="P237" s="13" t="s">
        <v>57</v>
      </c>
      <c r="Q237" s="16" t="s">
        <v>859</v>
      </c>
      <c r="R237" s="15" t="s">
        <v>860</v>
      </c>
      <c r="S237" s="28" t="s">
        <v>2631</v>
      </c>
      <c r="T237" s="12">
        <v>0</v>
      </c>
      <c r="U237" s="12"/>
      <c r="V237" s="17"/>
      <c r="W237" s="38"/>
      <c r="X237" s="12"/>
      <c r="Y237" s="17"/>
      <c r="Z237" s="59"/>
      <c r="AA237" s="66"/>
    </row>
    <row r="238" spans="1:27" s="78" customFormat="1" ht="122.5">
      <c r="A238" s="13" t="s">
        <v>2559</v>
      </c>
      <c r="B238" s="13" t="s">
        <v>56</v>
      </c>
      <c r="C238" s="12">
        <v>237</v>
      </c>
      <c r="D238" s="33" t="s">
        <v>2052</v>
      </c>
      <c r="E238" s="16" t="s">
        <v>2053</v>
      </c>
      <c r="F238" s="13" t="s">
        <v>224</v>
      </c>
      <c r="G238" s="13" t="s">
        <v>2054</v>
      </c>
      <c r="H238" s="13" t="s">
        <v>164</v>
      </c>
      <c r="I238" s="33" t="s">
        <v>381</v>
      </c>
      <c r="J238" s="13">
        <v>2023</v>
      </c>
      <c r="K238" s="13">
        <v>2026</v>
      </c>
      <c r="L238" s="16" t="s">
        <v>248</v>
      </c>
      <c r="M238" s="16" t="s">
        <v>2033</v>
      </c>
      <c r="N238" s="13"/>
      <c r="O238" s="16" t="s">
        <v>59</v>
      </c>
      <c r="P238" s="13" t="s">
        <v>57</v>
      </c>
      <c r="Q238" s="16" t="s">
        <v>859</v>
      </c>
      <c r="R238" s="16" t="s">
        <v>860</v>
      </c>
      <c r="S238" s="28" t="s">
        <v>2629</v>
      </c>
      <c r="T238" s="12">
        <v>2</v>
      </c>
      <c r="U238" s="15" t="s">
        <v>2932</v>
      </c>
      <c r="V238" s="30" t="s">
        <v>2933</v>
      </c>
      <c r="W238" s="38" t="s">
        <v>2055</v>
      </c>
      <c r="X238" s="15" t="s">
        <v>2934</v>
      </c>
      <c r="Y238" s="30" t="s">
        <v>2931</v>
      </c>
      <c r="Z238" s="59"/>
      <c r="AA238" s="66"/>
    </row>
    <row r="239" spans="1:27" s="78" customFormat="1" ht="52.5">
      <c r="A239" s="13" t="s">
        <v>2559</v>
      </c>
      <c r="B239" s="13" t="s">
        <v>56</v>
      </c>
      <c r="C239" s="12">
        <v>238</v>
      </c>
      <c r="D239" s="33" t="s">
        <v>2084</v>
      </c>
      <c r="E239" s="163" t="s">
        <v>2699</v>
      </c>
      <c r="F239" s="13" t="s">
        <v>58</v>
      </c>
      <c r="G239" s="13" t="s">
        <v>251</v>
      </c>
      <c r="H239" s="157" t="s">
        <v>1132</v>
      </c>
      <c r="I239" s="14" t="s">
        <v>2085</v>
      </c>
      <c r="J239" s="13">
        <v>2023</v>
      </c>
      <c r="K239" s="13">
        <v>2025</v>
      </c>
      <c r="L239" s="16" t="s">
        <v>248</v>
      </c>
      <c r="M239" s="16" t="s">
        <v>2033</v>
      </c>
      <c r="N239" s="163" t="s">
        <v>2700</v>
      </c>
      <c r="O239" s="16" t="s">
        <v>59</v>
      </c>
      <c r="P239" s="13" t="s">
        <v>57</v>
      </c>
      <c r="Q239" s="16" t="s">
        <v>859</v>
      </c>
      <c r="R239" s="15" t="s">
        <v>860</v>
      </c>
      <c r="S239" s="28" t="s">
        <v>2631</v>
      </c>
      <c r="T239" s="12">
        <v>0</v>
      </c>
      <c r="U239" s="12"/>
      <c r="V239" s="17"/>
      <c r="W239" s="38"/>
      <c r="X239" s="12"/>
      <c r="Y239" s="17"/>
      <c r="Z239" s="59"/>
      <c r="AA239" s="66"/>
    </row>
    <row r="240" spans="1:27" s="78" customFormat="1" ht="70">
      <c r="A240" s="13" t="s">
        <v>2559</v>
      </c>
      <c r="B240" s="13" t="s">
        <v>56</v>
      </c>
      <c r="C240" s="12">
        <v>239</v>
      </c>
      <c r="D240" s="33" t="s">
        <v>2086</v>
      </c>
      <c r="E240" s="163" t="s">
        <v>2701</v>
      </c>
      <c r="F240" s="13" t="s">
        <v>58</v>
      </c>
      <c r="G240" s="13" t="s">
        <v>2087</v>
      </c>
      <c r="H240" s="13" t="s">
        <v>164</v>
      </c>
      <c r="I240" s="14" t="s">
        <v>2088</v>
      </c>
      <c r="J240" s="13">
        <v>2024</v>
      </c>
      <c r="K240" s="13">
        <v>2026</v>
      </c>
      <c r="L240" s="16" t="s">
        <v>248</v>
      </c>
      <c r="M240" s="16" t="s">
        <v>2033</v>
      </c>
      <c r="N240" s="13" t="s">
        <v>1134</v>
      </c>
      <c r="O240" s="16" t="s">
        <v>59</v>
      </c>
      <c r="P240" s="13" t="s">
        <v>57</v>
      </c>
      <c r="Q240" s="16" t="s">
        <v>859</v>
      </c>
      <c r="R240" s="15" t="s">
        <v>860</v>
      </c>
      <c r="S240" s="28" t="s">
        <v>2631</v>
      </c>
      <c r="T240" s="12">
        <v>0</v>
      </c>
      <c r="U240" s="12"/>
      <c r="V240" s="17"/>
      <c r="W240" s="38"/>
      <c r="X240" s="12"/>
      <c r="Y240" s="17"/>
      <c r="Z240" s="59"/>
      <c r="AA240" s="66"/>
    </row>
    <row r="241" spans="1:27" s="78" customFormat="1" ht="52.5">
      <c r="A241" s="13" t="s">
        <v>2559</v>
      </c>
      <c r="B241" s="13" t="s">
        <v>56</v>
      </c>
      <c r="C241" s="12">
        <v>240</v>
      </c>
      <c r="D241" s="33" t="s">
        <v>2702</v>
      </c>
      <c r="E241" s="163" t="s">
        <v>2714</v>
      </c>
      <c r="F241" s="13" t="s">
        <v>58</v>
      </c>
      <c r="G241" s="157" t="s">
        <v>2703</v>
      </c>
      <c r="H241" s="13" t="s">
        <v>164</v>
      </c>
      <c r="I241" s="14" t="s">
        <v>2089</v>
      </c>
      <c r="J241" s="13">
        <v>2024</v>
      </c>
      <c r="K241" s="13">
        <v>2026</v>
      </c>
      <c r="L241" s="16" t="s">
        <v>248</v>
      </c>
      <c r="M241" s="16" t="s">
        <v>2033</v>
      </c>
      <c r="N241" s="163" t="s">
        <v>2700</v>
      </c>
      <c r="O241" s="16" t="s">
        <v>59</v>
      </c>
      <c r="P241" s="13" t="s">
        <v>57</v>
      </c>
      <c r="Q241" s="16" t="s">
        <v>859</v>
      </c>
      <c r="R241" s="15" t="s">
        <v>860</v>
      </c>
      <c r="S241" s="28" t="s">
        <v>2631</v>
      </c>
      <c r="T241" s="12">
        <v>0</v>
      </c>
      <c r="U241" s="12"/>
      <c r="V241" s="17"/>
      <c r="W241" s="38"/>
      <c r="X241" s="12"/>
      <c r="Y241" s="17"/>
      <c r="Z241" s="59"/>
      <c r="AA241" s="66"/>
    </row>
    <row r="242" spans="1:27" s="78" customFormat="1" ht="70">
      <c r="A242" s="13" t="s">
        <v>2559</v>
      </c>
      <c r="B242" s="13" t="s">
        <v>11</v>
      </c>
      <c r="C242" s="12">
        <v>241</v>
      </c>
      <c r="D242" s="38" t="s">
        <v>929</v>
      </c>
      <c r="E242" s="15" t="s">
        <v>2211</v>
      </c>
      <c r="F242" s="12" t="s">
        <v>224</v>
      </c>
      <c r="G242" s="12" t="s">
        <v>804</v>
      </c>
      <c r="H242" s="12" t="s">
        <v>164</v>
      </c>
      <c r="I242" s="33" t="s">
        <v>400</v>
      </c>
      <c r="J242" s="12">
        <v>2022</v>
      </c>
      <c r="K242" s="12">
        <v>2025</v>
      </c>
      <c r="L242" s="15" t="s">
        <v>930</v>
      </c>
      <c r="M242" s="15" t="s">
        <v>931</v>
      </c>
      <c r="N242" s="12"/>
      <c r="O242" s="16" t="s">
        <v>59</v>
      </c>
      <c r="P242" s="12" t="s">
        <v>57</v>
      </c>
      <c r="Q242" s="15" t="s">
        <v>925</v>
      </c>
      <c r="R242" s="15" t="s">
        <v>926</v>
      </c>
      <c r="S242" s="28" t="s">
        <v>2631</v>
      </c>
      <c r="T242" s="12">
        <v>0</v>
      </c>
      <c r="U242" s="12"/>
      <c r="V242" s="17"/>
      <c r="W242" s="38"/>
      <c r="X242" s="12"/>
      <c r="Y242" s="17"/>
      <c r="Z242" s="67"/>
      <c r="AA242" s="66"/>
    </row>
    <row r="243" spans="1:27" s="78" customFormat="1" ht="52.5">
      <c r="A243" s="13" t="s">
        <v>2559</v>
      </c>
      <c r="B243" s="13" t="s">
        <v>11</v>
      </c>
      <c r="C243" s="12">
        <v>242</v>
      </c>
      <c r="D243" s="36" t="s">
        <v>1260</v>
      </c>
      <c r="E243" s="39" t="s">
        <v>1662</v>
      </c>
      <c r="F243" s="12" t="s">
        <v>58</v>
      </c>
      <c r="G243" s="45" t="s">
        <v>349</v>
      </c>
      <c r="H243" s="12" t="s">
        <v>1132</v>
      </c>
      <c r="I243" s="33" t="s">
        <v>350</v>
      </c>
      <c r="J243" s="12">
        <v>2018</v>
      </c>
      <c r="K243" s="12">
        <v>2021</v>
      </c>
      <c r="L243" s="16" t="s">
        <v>351</v>
      </c>
      <c r="M243" s="16" t="s">
        <v>3069</v>
      </c>
      <c r="N243" s="16" t="s">
        <v>1183</v>
      </c>
      <c r="O243" s="16" t="s">
        <v>59</v>
      </c>
      <c r="P243" s="12" t="s">
        <v>57</v>
      </c>
      <c r="Q243" s="16" t="s">
        <v>859</v>
      </c>
      <c r="R243" s="15" t="s">
        <v>860</v>
      </c>
      <c r="S243" s="28" t="s">
        <v>2629</v>
      </c>
      <c r="T243" s="12">
        <v>2</v>
      </c>
      <c r="U243" s="15" t="s">
        <v>2956</v>
      </c>
      <c r="V243" s="30" t="s">
        <v>2937</v>
      </c>
      <c r="W243" s="217" t="s">
        <v>2938</v>
      </c>
      <c r="X243" s="15" t="s">
        <v>2935</v>
      </c>
      <c r="Y243" s="17" t="s">
        <v>930</v>
      </c>
      <c r="Z243" s="83"/>
      <c r="AA243" s="167"/>
    </row>
    <row r="244" spans="1:27" s="78" customFormat="1" ht="70">
      <c r="A244" s="13" t="s">
        <v>2559</v>
      </c>
      <c r="B244" s="13" t="s">
        <v>11</v>
      </c>
      <c r="C244" s="12">
        <v>243</v>
      </c>
      <c r="D244" s="36" t="s">
        <v>1267</v>
      </c>
      <c r="E244" s="39" t="s">
        <v>1665</v>
      </c>
      <c r="F244" s="12" t="s">
        <v>58</v>
      </c>
      <c r="G244" s="45" t="s">
        <v>3204</v>
      </c>
      <c r="H244" s="12" t="s">
        <v>1132</v>
      </c>
      <c r="I244" s="33" t="s">
        <v>355</v>
      </c>
      <c r="J244" s="12">
        <v>2019</v>
      </c>
      <c r="K244" s="12">
        <v>2023</v>
      </c>
      <c r="L244" s="16" t="s">
        <v>351</v>
      </c>
      <c r="M244" s="16" t="s">
        <v>3069</v>
      </c>
      <c r="N244" s="15" t="s">
        <v>356</v>
      </c>
      <c r="O244" s="16" t="s">
        <v>59</v>
      </c>
      <c r="P244" s="12" t="s">
        <v>57</v>
      </c>
      <c r="Q244" s="16" t="s">
        <v>859</v>
      </c>
      <c r="R244" s="15" t="s">
        <v>860</v>
      </c>
      <c r="S244" s="28" t="s">
        <v>2629</v>
      </c>
      <c r="T244" s="12">
        <v>2</v>
      </c>
      <c r="U244" s="15" t="s">
        <v>2936</v>
      </c>
      <c r="V244" s="30" t="s">
        <v>2941</v>
      </c>
      <c r="W244" s="217" t="s">
        <v>2939</v>
      </c>
      <c r="X244" s="15" t="s">
        <v>2940</v>
      </c>
      <c r="Y244" s="17" t="s">
        <v>930</v>
      </c>
      <c r="Z244" s="83"/>
      <c r="AA244" s="56"/>
    </row>
    <row r="245" spans="1:27" s="78" customFormat="1" ht="70">
      <c r="A245" s="13" t="s">
        <v>2559</v>
      </c>
      <c r="B245" s="28" t="s">
        <v>56</v>
      </c>
      <c r="C245" s="12">
        <v>244</v>
      </c>
      <c r="D245" s="47" t="s">
        <v>2224</v>
      </c>
      <c r="E245" s="28" t="s">
        <v>2225</v>
      </c>
      <c r="F245" s="28" t="s">
        <v>58</v>
      </c>
      <c r="G245" s="349" t="s">
        <v>3202</v>
      </c>
      <c r="H245" s="28" t="s">
        <v>164</v>
      </c>
      <c r="I245" s="48" t="s">
        <v>2226</v>
      </c>
      <c r="J245" s="28">
        <v>2024</v>
      </c>
      <c r="K245" s="28">
        <v>2026</v>
      </c>
      <c r="L245" s="28" t="s">
        <v>351</v>
      </c>
      <c r="M245" s="28" t="s">
        <v>2227</v>
      </c>
      <c r="N245" s="351" t="s">
        <v>3201</v>
      </c>
      <c r="O245" s="16" t="s">
        <v>59</v>
      </c>
      <c r="P245" s="28" t="s">
        <v>57</v>
      </c>
      <c r="Q245" s="48" t="s">
        <v>925</v>
      </c>
      <c r="R245" s="48" t="s">
        <v>26</v>
      </c>
      <c r="S245" s="28" t="s">
        <v>2631</v>
      </c>
      <c r="T245" s="12">
        <v>0</v>
      </c>
      <c r="U245" s="12"/>
      <c r="V245" s="17"/>
      <c r="W245" s="38"/>
      <c r="X245" s="12"/>
      <c r="Y245" s="17"/>
      <c r="Z245" s="57"/>
      <c r="AA245" s="66" t="s">
        <v>2794</v>
      </c>
    </row>
    <row r="246" spans="1:27" s="78" customFormat="1" ht="52.5">
      <c r="A246" s="13" t="s">
        <v>2559</v>
      </c>
      <c r="B246" s="28" t="s">
        <v>56</v>
      </c>
      <c r="C246" s="12">
        <v>245</v>
      </c>
      <c r="D246" s="47" t="s">
        <v>2241</v>
      </c>
      <c r="E246" s="28" t="s">
        <v>2242</v>
      </c>
      <c r="F246" s="28" t="s">
        <v>58</v>
      </c>
      <c r="G246" s="28" t="s">
        <v>781</v>
      </c>
      <c r="H246" s="28" t="s">
        <v>164</v>
      </c>
      <c r="I246" s="48" t="s">
        <v>2243</v>
      </c>
      <c r="J246" s="28">
        <v>2024</v>
      </c>
      <c r="K246" s="28">
        <v>2026</v>
      </c>
      <c r="L246" s="28" t="s">
        <v>2244</v>
      </c>
      <c r="M246" s="28" t="s">
        <v>2227</v>
      </c>
      <c r="N246" s="28" t="s">
        <v>1134</v>
      </c>
      <c r="O246" s="16" t="s">
        <v>59</v>
      </c>
      <c r="P246" s="28" t="s">
        <v>57</v>
      </c>
      <c r="Q246" s="48" t="s">
        <v>859</v>
      </c>
      <c r="R246" s="15" t="s">
        <v>860</v>
      </c>
      <c r="S246" s="28" t="s">
        <v>2631</v>
      </c>
      <c r="T246" s="12">
        <v>0</v>
      </c>
      <c r="U246" s="12"/>
      <c r="V246" s="17"/>
      <c r="W246" s="38"/>
      <c r="X246" s="12"/>
      <c r="Y246" s="17"/>
      <c r="Z246" s="57"/>
      <c r="AA246" s="66"/>
    </row>
    <row r="247" spans="1:27" s="78" customFormat="1" ht="52.5">
      <c r="A247" s="13" t="s">
        <v>2559</v>
      </c>
      <c r="B247" s="13" t="s">
        <v>56</v>
      </c>
      <c r="C247" s="12">
        <v>246</v>
      </c>
      <c r="D247" s="33" t="s">
        <v>1514</v>
      </c>
      <c r="E247" s="15" t="s">
        <v>1688</v>
      </c>
      <c r="F247" s="12" t="s">
        <v>58</v>
      </c>
      <c r="G247" s="13" t="s">
        <v>3173</v>
      </c>
      <c r="H247" s="12" t="s">
        <v>1132</v>
      </c>
      <c r="I247" s="33" t="s">
        <v>296</v>
      </c>
      <c r="J247" s="28">
        <v>2014</v>
      </c>
      <c r="K247" s="28">
        <v>2017</v>
      </c>
      <c r="L247" s="13" t="s">
        <v>297</v>
      </c>
      <c r="M247" s="15"/>
      <c r="N247" s="12"/>
      <c r="O247" s="16" t="s">
        <v>59</v>
      </c>
      <c r="P247" s="16" t="s">
        <v>57</v>
      </c>
      <c r="Q247" s="16" t="s">
        <v>891</v>
      </c>
      <c r="R247" s="15" t="s">
        <v>93</v>
      </c>
      <c r="S247" s="28" t="s">
        <v>2631</v>
      </c>
      <c r="T247" s="12">
        <v>0</v>
      </c>
      <c r="U247" s="12"/>
      <c r="V247" s="17"/>
      <c r="W247" s="38"/>
      <c r="X247" s="12"/>
      <c r="Y247" s="17"/>
      <c r="Z247" s="67"/>
      <c r="AA247" s="66"/>
    </row>
    <row r="248" spans="1:27" s="78" customFormat="1" ht="70">
      <c r="A248" s="13" t="s">
        <v>2559</v>
      </c>
      <c r="B248" s="103" t="s">
        <v>56</v>
      </c>
      <c r="C248" s="12">
        <v>247</v>
      </c>
      <c r="D248" s="104" t="s">
        <v>2073</v>
      </c>
      <c r="E248" s="16" t="s">
        <v>2074</v>
      </c>
      <c r="F248" s="13" t="s">
        <v>770</v>
      </c>
      <c r="G248" s="103" t="s">
        <v>412</v>
      </c>
      <c r="H248" s="13" t="s">
        <v>1132</v>
      </c>
      <c r="I248" s="104" t="s">
        <v>413</v>
      </c>
      <c r="J248" s="13">
        <v>2014</v>
      </c>
      <c r="K248" s="103">
        <v>2018</v>
      </c>
      <c r="L248" s="103" t="s">
        <v>265</v>
      </c>
      <c r="M248" s="16" t="s">
        <v>2030</v>
      </c>
      <c r="N248" s="13"/>
      <c r="O248" s="16" t="s">
        <v>59</v>
      </c>
      <c r="P248" s="105" t="s">
        <v>57</v>
      </c>
      <c r="Q248" s="16" t="s">
        <v>859</v>
      </c>
      <c r="R248" s="16" t="s">
        <v>93</v>
      </c>
      <c r="S248" s="28" t="s">
        <v>2631</v>
      </c>
      <c r="T248" s="12">
        <v>0</v>
      </c>
      <c r="U248" s="12"/>
      <c r="V248" s="17"/>
      <c r="W248" s="38"/>
      <c r="X248" s="12"/>
      <c r="Y248" s="17"/>
      <c r="Z248" s="59"/>
      <c r="AA248" s="66"/>
    </row>
    <row r="249" spans="1:27" s="100" customFormat="1" ht="105">
      <c r="A249" s="13" t="s">
        <v>2559</v>
      </c>
      <c r="B249" s="13" t="s">
        <v>56</v>
      </c>
      <c r="C249" s="12">
        <v>248</v>
      </c>
      <c r="D249" s="296" t="s">
        <v>2028</v>
      </c>
      <c r="E249" s="106" t="s">
        <v>2029</v>
      </c>
      <c r="F249" s="12" t="s">
        <v>770</v>
      </c>
      <c r="G249" s="322" t="s">
        <v>412</v>
      </c>
      <c r="H249" s="12" t="s">
        <v>1132</v>
      </c>
      <c r="I249" s="296" t="s">
        <v>414</v>
      </c>
      <c r="J249" s="12">
        <v>2015</v>
      </c>
      <c r="K249" s="12">
        <v>2020</v>
      </c>
      <c r="L249" s="106" t="s">
        <v>265</v>
      </c>
      <c r="M249" s="106" t="s">
        <v>2030</v>
      </c>
      <c r="N249" s="12"/>
      <c r="O249" s="16" t="s">
        <v>59</v>
      </c>
      <c r="P249" s="12" t="s">
        <v>57</v>
      </c>
      <c r="Q249" s="16" t="s">
        <v>859</v>
      </c>
      <c r="R249" s="15" t="s">
        <v>93</v>
      </c>
      <c r="S249" s="28" t="s">
        <v>2631</v>
      </c>
      <c r="T249" s="12">
        <v>0</v>
      </c>
      <c r="U249" s="12"/>
      <c r="V249" s="17"/>
      <c r="W249" s="38"/>
      <c r="X249" s="12"/>
      <c r="Y249" s="17"/>
      <c r="Z249" s="83"/>
      <c r="AA249" s="66"/>
    </row>
    <row r="250" spans="1:27" s="78" customFormat="1" ht="52.5">
      <c r="A250" s="13" t="s">
        <v>2559</v>
      </c>
      <c r="B250" s="103" t="s">
        <v>56</v>
      </c>
      <c r="C250" s="12">
        <v>249</v>
      </c>
      <c r="D250" s="104" t="s">
        <v>2065</v>
      </c>
      <c r="E250" s="16" t="s">
        <v>2066</v>
      </c>
      <c r="F250" s="13" t="s">
        <v>58</v>
      </c>
      <c r="G250" s="103" t="s">
        <v>259</v>
      </c>
      <c r="H250" s="13" t="s">
        <v>1132</v>
      </c>
      <c r="I250" s="104" t="s">
        <v>409</v>
      </c>
      <c r="J250" s="13">
        <v>2015</v>
      </c>
      <c r="K250" s="103">
        <v>2018</v>
      </c>
      <c r="L250" s="103" t="s">
        <v>265</v>
      </c>
      <c r="M250" s="16" t="s">
        <v>415</v>
      </c>
      <c r="N250" s="16" t="s">
        <v>339</v>
      </c>
      <c r="O250" s="16" t="s">
        <v>59</v>
      </c>
      <c r="P250" s="105" t="s">
        <v>57</v>
      </c>
      <c r="Q250" s="16" t="s">
        <v>859</v>
      </c>
      <c r="R250" s="16" t="s">
        <v>93</v>
      </c>
      <c r="S250" s="28" t="s">
        <v>2631</v>
      </c>
      <c r="T250" s="12">
        <v>0</v>
      </c>
      <c r="U250" s="12"/>
      <c r="V250" s="17"/>
      <c r="W250" s="38"/>
      <c r="X250" s="12"/>
      <c r="Y250" s="17"/>
      <c r="Z250" s="59"/>
      <c r="AA250" s="66"/>
    </row>
    <row r="251" spans="1:27" s="78" customFormat="1" ht="70">
      <c r="A251" s="13" t="s">
        <v>2559</v>
      </c>
      <c r="B251" s="103" t="s">
        <v>56</v>
      </c>
      <c r="C251" s="12">
        <v>250</v>
      </c>
      <c r="D251" s="104" t="s">
        <v>2067</v>
      </c>
      <c r="E251" s="16" t="s">
        <v>2068</v>
      </c>
      <c r="F251" s="13" t="s">
        <v>58</v>
      </c>
      <c r="G251" s="103" t="s">
        <v>259</v>
      </c>
      <c r="H251" s="13" t="s">
        <v>1132</v>
      </c>
      <c r="I251" s="104" t="s">
        <v>410</v>
      </c>
      <c r="J251" s="13">
        <v>2016</v>
      </c>
      <c r="K251" s="103">
        <v>2019</v>
      </c>
      <c r="L251" s="103" t="s">
        <v>265</v>
      </c>
      <c r="M251" s="16" t="s">
        <v>415</v>
      </c>
      <c r="N251" s="16" t="s">
        <v>339</v>
      </c>
      <c r="O251" s="16" t="s">
        <v>59</v>
      </c>
      <c r="P251" s="105" t="s">
        <v>57</v>
      </c>
      <c r="Q251" s="16" t="s">
        <v>859</v>
      </c>
      <c r="R251" s="16" t="s">
        <v>93</v>
      </c>
      <c r="S251" s="28" t="s">
        <v>2629</v>
      </c>
      <c r="T251" s="12">
        <v>1</v>
      </c>
      <c r="U251" s="12" t="s">
        <v>2964</v>
      </c>
      <c r="V251" s="17" t="s">
        <v>3007</v>
      </c>
      <c r="W251" s="38" t="s">
        <v>2069</v>
      </c>
      <c r="X251" s="12" t="s">
        <v>1831</v>
      </c>
      <c r="Y251" s="17" t="s">
        <v>2070</v>
      </c>
      <c r="Z251" s="59"/>
      <c r="AA251" s="66"/>
    </row>
    <row r="252" spans="1:27" s="78" customFormat="1" ht="52.5">
      <c r="A252" s="13" t="s">
        <v>2559</v>
      </c>
      <c r="B252" s="103" t="s">
        <v>56</v>
      </c>
      <c r="C252" s="12">
        <v>251</v>
      </c>
      <c r="D252" s="104" t="s">
        <v>2071</v>
      </c>
      <c r="E252" s="16" t="s">
        <v>2072</v>
      </c>
      <c r="F252" s="13" t="s">
        <v>58</v>
      </c>
      <c r="G252" s="103" t="s">
        <v>259</v>
      </c>
      <c r="H252" s="13" t="s">
        <v>1132</v>
      </c>
      <c r="I252" s="104" t="s">
        <v>411</v>
      </c>
      <c r="J252" s="13">
        <v>2017</v>
      </c>
      <c r="K252" s="103">
        <v>2019</v>
      </c>
      <c r="L252" s="103" t="s">
        <v>265</v>
      </c>
      <c r="M252" s="16" t="s">
        <v>415</v>
      </c>
      <c r="N252" s="16" t="s">
        <v>339</v>
      </c>
      <c r="O252" s="16" t="s">
        <v>59</v>
      </c>
      <c r="P252" s="105" t="s">
        <v>57</v>
      </c>
      <c r="Q252" s="16" t="s">
        <v>859</v>
      </c>
      <c r="R252" s="16" t="s">
        <v>93</v>
      </c>
      <c r="S252" s="28" t="s">
        <v>2631</v>
      </c>
      <c r="T252" s="12">
        <v>0</v>
      </c>
      <c r="U252" s="12"/>
      <c r="V252" s="17"/>
      <c r="W252" s="38"/>
      <c r="X252" s="12"/>
      <c r="Y252" s="17"/>
      <c r="Z252" s="59"/>
      <c r="AA252" s="66"/>
    </row>
    <row r="253" spans="1:27" s="78" customFormat="1" ht="87.5">
      <c r="A253" s="13" t="s">
        <v>2559</v>
      </c>
      <c r="B253" s="13" t="s">
        <v>56</v>
      </c>
      <c r="C253" s="12">
        <v>252</v>
      </c>
      <c r="D253" s="33" t="s">
        <v>2061</v>
      </c>
      <c r="E253" s="16" t="s">
        <v>2062</v>
      </c>
      <c r="F253" s="13" t="s">
        <v>770</v>
      </c>
      <c r="G253" s="13" t="s">
        <v>412</v>
      </c>
      <c r="H253" s="13" t="s">
        <v>1132</v>
      </c>
      <c r="I253" s="105" t="s">
        <v>416</v>
      </c>
      <c r="J253" s="13">
        <v>2020</v>
      </c>
      <c r="K253" s="13">
        <v>2024</v>
      </c>
      <c r="L253" s="103" t="s">
        <v>265</v>
      </c>
      <c r="M253" s="105" t="s">
        <v>2030</v>
      </c>
      <c r="N253" s="13"/>
      <c r="O253" s="16" t="s">
        <v>59</v>
      </c>
      <c r="P253" s="13" t="s">
        <v>57</v>
      </c>
      <c r="Q253" s="16" t="s">
        <v>901</v>
      </c>
      <c r="R253" s="16" t="s">
        <v>32</v>
      </c>
      <c r="S253" s="28" t="s">
        <v>2631</v>
      </c>
      <c r="T253" s="12">
        <v>0</v>
      </c>
      <c r="U253" s="12"/>
      <c r="V253" s="17"/>
      <c r="W253" s="38"/>
      <c r="X253" s="12"/>
      <c r="Y253" s="17"/>
      <c r="Z253" s="59"/>
      <c r="AA253" s="56"/>
    </row>
    <row r="254" spans="1:27" s="78" customFormat="1" ht="52.5">
      <c r="A254" s="13" t="s">
        <v>2559</v>
      </c>
      <c r="B254" s="13" t="s">
        <v>56</v>
      </c>
      <c r="C254" s="12">
        <v>253</v>
      </c>
      <c r="D254" s="33" t="s">
        <v>1517</v>
      </c>
      <c r="E254" s="15" t="s">
        <v>1689</v>
      </c>
      <c r="F254" s="12" t="s">
        <v>58</v>
      </c>
      <c r="G254" s="13" t="s">
        <v>3178</v>
      </c>
      <c r="H254" s="12" t="s">
        <v>1132</v>
      </c>
      <c r="I254" s="33" t="s">
        <v>417</v>
      </c>
      <c r="J254" s="13">
        <v>2009</v>
      </c>
      <c r="K254" s="13">
        <v>2012</v>
      </c>
      <c r="L254" s="13" t="s">
        <v>418</v>
      </c>
      <c r="M254" s="162" t="s">
        <v>425</v>
      </c>
      <c r="N254" s="12"/>
      <c r="O254" s="16" t="s">
        <v>59</v>
      </c>
      <c r="P254" s="16" t="s">
        <v>57</v>
      </c>
      <c r="Q254" s="16" t="s">
        <v>864</v>
      </c>
      <c r="R254" s="15" t="s">
        <v>93</v>
      </c>
      <c r="S254" s="28" t="s">
        <v>2631</v>
      </c>
      <c r="T254" s="12">
        <v>0</v>
      </c>
      <c r="U254" s="12"/>
      <c r="V254" s="17"/>
      <c r="W254" s="38"/>
      <c r="X254" s="12"/>
      <c r="Y254" s="17"/>
      <c r="Z254" s="67"/>
      <c r="AA254" s="56"/>
    </row>
    <row r="255" spans="1:27" s="78" customFormat="1" ht="52.5">
      <c r="A255" s="13" t="s">
        <v>2559</v>
      </c>
      <c r="B255" s="13" t="s">
        <v>56</v>
      </c>
      <c r="C255" s="12">
        <v>254</v>
      </c>
      <c r="D255" s="33" t="s">
        <v>1518</v>
      </c>
      <c r="E255" s="15" t="s">
        <v>1690</v>
      </c>
      <c r="F255" s="12" t="s">
        <v>58</v>
      </c>
      <c r="G255" s="13" t="s">
        <v>2592</v>
      </c>
      <c r="H255" s="12" t="s">
        <v>1132</v>
      </c>
      <c r="I255" s="33" t="s">
        <v>419</v>
      </c>
      <c r="J255" s="12">
        <v>2010</v>
      </c>
      <c r="K255" s="13">
        <v>2013</v>
      </c>
      <c r="L255" s="13" t="s">
        <v>418</v>
      </c>
      <c r="M255" s="162" t="s">
        <v>425</v>
      </c>
      <c r="N255" s="12"/>
      <c r="O255" s="16" t="s">
        <v>59</v>
      </c>
      <c r="P255" s="16" t="s">
        <v>57</v>
      </c>
      <c r="Q255" s="16" t="s">
        <v>864</v>
      </c>
      <c r="R255" s="15" t="s">
        <v>93</v>
      </c>
      <c r="S255" s="28" t="s">
        <v>2631</v>
      </c>
      <c r="T255" s="12">
        <v>0</v>
      </c>
      <c r="U255" s="12"/>
      <c r="V255" s="17"/>
      <c r="W255" s="38"/>
      <c r="X255" s="12"/>
      <c r="Y255" s="17"/>
      <c r="Z255" s="67"/>
      <c r="AA255" s="66"/>
    </row>
    <row r="256" spans="1:27" s="78" customFormat="1" ht="52.5">
      <c r="A256" s="13" t="s">
        <v>2559</v>
      </c>
      <c r="B256" s="13" t="s">
        <v>56</v>
      </c>
      <c r="C256" s="12">
        <v>255</v>
      </c>
      <c r="D256" s="33" t="s">
        <v>1519</v>
      </c>
      <c r="E256" s="15" t="s">
        <v>1691</v>
      </c>
      <c r="F256" s="12" t="s">
        <v>58</v>
      </c>
      <c r="G256" s="13" t="s">
        <v>3178</v>
      </c>
      <c r="H256" s="12" t="s">
        <v>1132</v>
      </c>
      <c r="I256" s="33" t="s">
        <v>420</v>
      </c>
      <c r="J256" s="12">
        <v>2012</v>
      </c>
      <c r="K256" s="13">
        <v>2015</v>
      </c>
      <c r="L256" s="13" t="s">
        <v>418</v>
      </c>
      <c r="M256" s="162" t="s">
        <v>425</v>
      </c>
      <c r="N256" s="12"/>
      <c r="O256" s="16" t="s">
        <v>59</v>
      </c>
      <c r="P256" s="16" t="s">
        <v>57</v>
      </c>
      <c r="Q256" s="16" t="s">
        <v>864</v>
      </c>
      <c r="R256" s="15" t="s">
        <v>93</v>
      </c>
      <c r="S256" s="28" t="s">
        <v>2631</v>
      </c>
      <c r="T256" s="12">
        <v>0</v>
      </c>
      <c r="U256" s="12"/>
      <c r="V256" s="17"/>
      <c r="W256" s="38"/>
      <c r="X256" s="12"/>
      <c r="Y256" s="17"/>
      <c r="Z256" s="67"/>
      <c r="AA256" s="66"/>
    </row>
    <row r="257" spans="1:27" s="78" customFormat="1" ht="105">
      <c r="A257" s="13" t="s">
        <v>2559</v>
      </c>
      <c r="B257" s="13" t="s">
        <v>56</v>
      </c>
      <c r="C257" s="12">
        <v>256</v>
      </c>
      <c r="D257" s="33" t="s">
        <v>1520</v>
      </c>
      <c r="E257" s="15" t="s">
        <v>1692</v>
      </c>
      <c r="F257" s="12" t="s">
        <v>58</v>
      </c>
      <c r="G257" s="13" t="s">
        <v>3178</v>
      </c>
      <c r="H257" s="12" t="s">
        <v>1132</v>
      </c>
      <c r="I257" s="33" t="s">
        <v>421</v>
      </c>
      <c r="J257" s="12">
        <v>2012</v>
      </c>
      <c r="K257" s="13">
        <v>2015</v>
      </c>
      <c r="L257" s="13" t="s">
        <v>418</v>
      </c>
      <c r="M257" s="162" t="s">
        <v>425</v>
      </c>
      <c r="N257" s="12"/>
      <c r="O257" s="16" t="s">
        <v>59</v>
      </c>
      <c r="P257" s="16" t="s">
        <v>57</v>
      </c>
      <c r="Q257" s="16" t="s">
        <v>864</v>
      </c>
      <c r="R257" s="15" t="s">
        <v>93</v>
      </c>
      <c r="S257" s="28" t="s">
        <v>2631</v>
      </c>
      <c r="T257" s="12">
        <v>0</v>
      </c>
      <c r="U257" s="12"/>
      <c r="V257" s="17"/>
      <c r="W257" s="38"/>
      <c r="X257" s="12"/>
      <c r="Y257" s="17"/>
      <c r="Z257" s="67"/>
      <c r="AA257" s="66"/>
    </row>
    <row r="258" spans="1:27" s="78" customFormat="1" ht="52.5">
      <c r="A258" s="13" t="s">
        <v>2559</v>
      </c>
      <c r="B258" s="13" t="s">
        <v>56</v>
      </c>
      <c r="C258" s="12">
        <v>257</v>
      </c>
      <c r="D258" s="33" t="s">
        <v>1521</v>
      </c>
      <c r="E258" s="15" t="s">
        <v>1693</v>
      </c>
      <c r="F258" s="12" t="s">
        <v>58</v>
      </c>
      <c r="G258" s="13" t="s">
        <v>3178</v>
      </c>
      <c r="H258" s="12" t="s">
        <v>1132</v>
      </c>
      <c r="I258" s="33" t="s">
        <v>422</v>
      </c>
      <c r="J258" s="12">
        <v>2015</v>
      </c>
      <c r="K258" s="13">
        <v>2018</v>
      </c>
      <c r="L258" s="13" t="s">
        <v>418</v>
      </c>
      <c r="M258" s="162" t="s">
        <v>425</v>
      </c>
      <c r="N258" s="12"/>
      <c r="O258" s="16" t="s">
        <v>59</v>
      </c>
      <c r="P258" s="16" t="s">
        <v>57</v>
      </c>
      <c r="Q258" s="16" t="s">
        <v>859</v>
      </c>
      <c r="R258" s="15" t="s">
        <v>93</v>
      </c>
      <c r="S258" s="28" t="s">
        <v>2631</v>
      </c>
      <c r="T258" s="12">
        <v>0</v>
      </c>
      <c r="U258" s="12"/>
      <c r="V258" s="17"/>
      <c r="W258" s="38"/>
      <c r="X258" s="12"/>
      <c r="Y258" s="17"/>
      <c r="Z258" s="67"/>
      <c r="AA258" s="66"/>
    </row>
    <row r="259" spans="1:27" s="78" customFormat="1" ht="52.5">
      <c r="A259" s="13" t="s">
        <v>2559</v>
      </c>
      <c r="B259" s="28" t="s">
        <v>11</v>
      </c>
      <c r="C259" s="12">
        <v>258</v>
      </c>
      <c r="D259" s="108" t="s">
        <v>856</v>
      </c>
      <c r="E259" s="46" t="s">
        <v>1669</v>
      </c>
      <c r="F259" s="29" t="s">
        <v>58</v>
      </c>
      <c r="G259" s="28" t="s">
        <v>148</v>
      </c>
      <c r="H259" s="29" t="s">
        <v>1132</v>
      </c>
      <c r="I259" s="46" t="s">
        <v>423</v>
      </c>
      <c r="J259" s="29">
        <v>2019</v>
      </c>
      <c r="K259" s="29">
        <v>2022</v>
      </c>
      <c r="L259" s="46" t="s">
        <v>424</v>
      </c>
      <c r="M259" s="46" t="s">
        <v>425</v>
      </c>
      <c r="N259" s="46" t="s">
        <v>303</v>
      </c>
      <c r="O259" s="16" t="s">
        <v>59</v>
      </c>
      <c r="P259" s="29" t="s">
        <v>57</v>
      </c>
      <c r="Q259" s="48" t="s">
        <v>891</v>
      </c>
      <c r="R259" s="48" t="s">
        <v>93</v>
      </c>
      <c r="S259" s="28" t="s">
        <v>2631</v>
      </c>
      <c r="T259" s="12">
        <v>0</v>
      </c>
      <c r="U259" s="12"/>
      <c r="V259" s="17"/>
      <c r="W259" s="38"/>
      <c r="X259" s="12"/>
      <c r="Y259" s="17"/>
      <c r="Z259" s="101"/>
      <c r="AA259" s="66"/>
    </row>
    <row r="260" spans="1:27" s="78" customFormat="1" ht="70">
      <c r="A260" s="13" t="s">
        <v>2559</v>
      </c>
      <c r="B260" s="28" t="s">
        <v>11</v>
      </c>
      <c r="C260" s="12">
        <v>259</v>
      </c>
      <c r="D260" s="108" t="s">
        <v>947</v>
      </c>
      <c r="E260" s="46" t="s">
        <v>948</v>
      </c>
      <c r="F260" s="29" t="s">
        <v>2</v>
      </c>
      <c r="G260" s="29" t="s">
        <v>148</v>
      </c>
      <c r="H260" s="29" t="s">
        <v>164</v>
      </c>
      <c r="I260" s="47" t="s">
        <v>426</v>
      </c>
      <c r="J260" s="29">
        <v>2022</v>
      </c>
      <c r="K260" s="29">
        <v>2024</v>
      </c>
      <c r="L260" s="46" t="s">
        <v>949</v>
      </c>
      <c r="M260" s="46" t="s">
        <v>425</v>
      </c>
      <c r="N260" s="48" t="s">
        <v>884</v>
      </c>
      <c r="O260" s="16" t="s">
        <v>59</v>
      </c>
      <c r="P260" s="29" t="s">
        <v>57</v>
      </c>
      <c r="Q260" s="48" t="s">
        <v>891</v>
      </c>
      <c r="R260" s="48" t="s">
        <v>93</v>
      </c>
      <c r="S260" s="28" t="s">
        <v>2631</v>
      </c>
      <c r="T260" s="12">
        <v>0</v>
      </c>
      <c r="U260" s="12"/>
      <c r="V260" s="17"/>
      <c r="W260" s="38"/>
      <c r="X260" s="12"/>
      <c r="Y260" s="17"/>
      <c r="Z260" s="109"/>
      <c r="AA260" s="66"/>
    </row>
    <row r="261" spans="1:27" s="78" customFormat="1" ht="87.5">
      <c r="A261" s="13" t="s">
        <v>2559</v>
      </c>
      <c r="B261" s="28" t="s">
        <v>11</v>
      </c>
      <c r="C261" s="12">
        <v>260</v>
      </c>
      <c r="D261" s="108" t="s">
        <v>1332</v>
      </c>
      <c r="E261" s="46" t="s">
        <v>950</v>
      </c>
      <c r="F261" s="29" t="s">
        <v>2</v>
      </c>
      <c r="G261" s="29" t="s">
        <v>148</v>
      </c>
      <c r="H261" s="29" t="s">
        <v>164</v>
      </c>
      <c r="I261" s="47" t="s">
        <v>427</v>
      </c>
      <c r="J261" s="29">
        <v>2023</v>
      </c>
      <c r="K261" s="164">
        <v>2026</v>
      </c>
      <c r="L261" s="46" t="s">
        <v>949</v>
      </c>
      <c r="M261" s="46" t="s">
        <v>425</v>
      </c>
      <c r="N261" s="48" t="s">
        <v>884</v>
      </c>
      <c r="O261" s="16" t="s">
        <v>59</v>
      </c>
      <c r="P261" s="29" t="s">
        <v>57</v>
      </c>
      <c r="Q261" s="48" t="s">
        <v>891</v>
      </c>
      <c r="R261" s="48" t="s">
        <v>93</v>
      </c>
      <c r="S261" s="157" t="s">
        <v>2629</v>
      </c>
      <c r="T261" s="164">
        <v>1</v>
      </c>
      <c r="U261" s="164" t="s">
        <v>1781</v>
      </c>
      <c r="V261" s="157" t="s">
        <v>2863</v>
      </c>
      <c r="W261" s="172" t="s">
        <v>2864</v>
      </c>
      <c r="X261" s="164" t="s">
        <v>1595</v>
      </c>
      <c r="Y261" s="157" t="s">
        <v>2865</v>
      </c>
      <c r="Z261" s="109"/>
      <c r="AA261" s="66"/>
    </row>
    <row r="262" spans="1:27" s="78" customFormat="1" ht="70">
      <c r="A262" s="28" t="s">
        <v>2559</v>
      </c>
      <c r="B262" s="28" t="s">
        <v>11</v>
      </c>
      <c r="C262" s="141">
        <v>261</v>
      </c>
      <c r="D262" s="175" t="s">
        <v>2859</v>
      </c>
      <c r="E262" s="163" t="s">
        <v>2862</v>
      </c>
      <c r="F262" s="174" t="s">
        <v>58</v>
      </c>
      <c r="G262" s="174" t="s">
        <v>2712</v>
      </c>
      <c r="H262" s="157" t="s">
        <v>164</v>
      </c>
      <c r="I262" s="186" t="s">
        <v>2860</v>
      </c>
      <c r="J262" s="174">
        <v>2025</v>
      </c>
      <c r="K262" s="174">
        <v>2027</v>
      </c>
      <c r="L262" s="163" t="s">
        <v>2861</v>
      </c>
      <c r="M262" s="163" t="s">
        <v>425</v>
      </c>
      <c r="N262" s="163" t="s">
        <v>3138</v>
      </c>
      <c r="O262" s="16" t="s">
        <v>59</v>
      </c>
      <c r="P262" s="29" t="s">
        <v>57</v>
      </c>
      <c r="Q262" s="143" t="s">
        <v>864</v>
      </c>
      <c r="R262" s="143" t="s">
        <v>93</v>
      </c>
      <c r="S262" s="28" t="s">
        <v>2631</v>
      </c>
      <c r="T262" s="29">
        <v>0</v>
      </c>
      <c r="U262" s="29"/>
      <c r="V262" s="28"/>
      <c r="W262" s="108"/>
      <c r="X262" s="29"/>
      <c r="Y262" s="28"/>
      <c r="Z262" s="146"/>
      <c r="AA262" s="66"/>
    </row>
    <row r="263" spans="1:27" s="78" customFormat="1" ht="70">
      <c r="A263" s="13" t="s">
        <v>2559</v>
      </c>
      <c r="B263" s="13" t="s">
        <v>56</v>
      </c>
      <c r="C263" s="12">
        <v>262</v>
      </c>
      <c r="D263" s="33" t="s">
        <v>1444</v>
      </c>
      <c r="E263" s="15" t="s">
        <v>1445</v>
      </c>
      <c r="F263" s="12" t="s">
        <v>58</v>
      </c>
      <c r="G263" s="13" t="s">
        <v>3178</v>
      </c>
      <c r="H263" s="12" t="s">
        <v>1132</v>
      </c>
      <c r="I263" s="33" t="s">
        <v>216</v>
      </c>
      <c r="J263" s="48">
        <v>2013</v>
      </c>
      <c r="K263" s="16">
        <v>2015</v>
      </c>
      <c r="L263" s="13" t="s">
        <v>217</v>
      </c>
      <c r="M263" s="48" t="s">
        <v>149</v>
      </c>
      <c r="N263" s="351" t="s">
        <v>356</v>
      </c>
      <c r="O263" s="16" t="s">
        <v>59</v>
      </c>
      <c r="P263" s="16" t="s">
        <v>57</v>
      </c>
      <c r="Q263" s="16" t="s">
        <v>859</v>
      </c>
      <c r="R263" s="15" t="s">
        <v>93</v>
      </c>
      <c r="S263" s="28" t="s">
        <v>2629</v>
      </c>
      <c r="T263" s="12">
        <v>1</v>
      </c>
      <c r="U263" s="12" t="s">
        <v>2964</v>
      </c>
      <c r="V263" s="17" t="s">
        <v>3008</v>
      </c>
      <c r="W263" s="38" t="s">
        <v>1610</v>
      </c>
      <c r="X263" s="12" t="s">
        <v>1595</v>
      </c>
      <c r="Y263" s="17" t="s">
        <v>1613</v>
      </c>
      <c r="Z263" s="67"/>
      <c r="AA263" s="66"/>
    </row>
    <row r="264" spans="1:27" s="78" customFormat="1" ht="87.5">
      <c r="A264" s="13" t="s">
        <v>2559</v>
      </c>
      <c r="B264" s="13" t="s">
        <v>56</v>
      </c>
      <c r="C264" s="12">
        <v>263</v>
      </c>
      <c r="D264" s="33" t="s">
        <v>1444</v>
      </c>
      <c r="E264" s="15" t="s">
        <v>1446</v>
      </c>
      <c r="F264" s="12" t="s">
        <v>58</v>
      </c>
      <c r="G264" s="12" t="s">
        <v>148</v>
      </c>
      <c r="H264" s="12" t="s">
        <v>1132</v>
      </c>
      <c r="I264" s="33" t="s">
        <v>219</v>
      </c>
      <c r="J264" s="48">
        <v>2013</v>
      </c>
      <c r="K264" s="16">
        <v>2015</v>
      </c>
      <c r="L264" s="13" t="s">
        <v>217</v>
      </c>
      <c r="M264" s="48" t="s">
        <v>149</v>
      </c>
      <c r="N264" s="12"/>
      <c r="O264" s="16" t="s">
        <v>59</v>
      </c>
      <c r="P264" s="16" t="s">
        <v>57</v>
      </c>
      <c r="Q264" s="16" t="s">
        <v>891</v>
      </c>
      <c r="R264" s="15" t="s">
        <v>93</v>
      </c>
      <c r="S264" s="28" t="s">
        <v>2629</v>
      </c>
      <c r="T264" s="12">
        <v>1</v>
      </c>
      <c r="U264" s="12" t="s">
        <v>2964</v>
      </c>
      <c r="V264" s="17" t="s">
        <v>3009</v>
      </c>
      <c r="W264" s="38" t="s">
        <v>1611</v>
      </c>
      <c r="X264" s="12" t="s">
        <v>1595</v>
      </c>
      <c r="Y264" s="17" t="s">
        <v>1613</v>
      </c>
      <c r="Z264" s="67"/>
      <c r="AA264" s="66"/>
    </row>
    <row r="265" spans="1:27" s="78" customFormat="1" ht="70">
      <c r="A265" s="13" t="s">
        <v>2559</v>
      </c>
      <c r="B265" s="13" t="s">
        <v>56</v>
      </c>
      <c r="C265" s="12">
        <v>264</v>
      </c>
      <c r="D265" s="33" t="s">
        <v>1447</v>
      </c>
      <c r="E265" s="15" t="s">
        <v>1448</v>
      </c>
      <c r="F265" s="12" t="s">
        <v>58</v>
      </c>
      <c r="G265" s="12" t="s">
        <v>148</v>
      </c>
      <c r="H265" s="12" t="s">
        <v>1132</v>
      </c>
      <c r="I265" s="33" t="s">
        <v>220</v>
      </c>
      <c r="J265" s="48">
        <v>2015</v>
      </c>
      <c r="K265" s="16">
        <v>2017</v>
      </c>
      <c r="L265" s="16" t="s">
        <v>217</v>
      </c>
      <c r="M265" s="48" t="s">
        <v>149</v>
      </c>
      <c r="N265" s="12"/>
      <c r="O265" s="16" t="s">
        <v>59</v>
      </c>
      <c r="P265" s="16" t="s">
        <v>57</v>
      </c>
      <c r="Q265" s="16" t="s">
        <v>891</v>
      </c>
      <c r="R265" s="15" t="s">
        <v>93</v>
      </c>
      <c r="S265" s="28" t="s">
        <v>2631</v>
      </c>
      <c r="T265" s="12">
        <v>0</v>
      </c>
      <c r="U265" s="12"/>
      <c r="V265" s="17"/>
      <c r="W265" s="38"/>
      <c r="X265" s="12"/>
      <c r="Y265" s="17"/>
      <c r="Z265" s="67"/>
      <c r="AA265" s="66"/>
    </row>
    <row r="266" spans="1:27" s="78" customFormat="1" ht="70">
      <c r="A266" s="13" t="s">
        <v>2559</v>
      </c>
      <c r="B266" s="13" t="s">
        <v>11</v>
      </c>
      <c r="C266" s="12">
        <v>265</v>
      </c>
      <c r="D266" s="33" t="s">
        <v>1371</v>
      </c>
      <c r="E266" s="16" t="s">
        <v>1372</v>
      </c>
      <c r="F266" s="13" t="s">
        <v>58</v>
      </c>
      <c r="G266" s="12" t="s">
        <v>148</v>
      </c>
      <c r="H266" s="13" t="s">
        <v>1132</v>
      </c>
      <c r="I266" s="33" t="s">
        <v>113</v>
      </c>
      <c r="J266" s="28">
        <v>2016</v>
      </c>
      <c r="K266" s="13">
        <v>2018</v>
      </c>
      <c r="L266" s="17" t="s">
        <v>111</v>
      </c>
      <c r="M266" s="48" t="s">
        <v>149</v>
      </c>
      <c r="N266" s="13"/>
      <c r="O266" s="16" t="s">
        <v>59</v>
      </c>
      <c r="P266" s="16" t="s">
        <v>10</v>
      </c>
      <c r="Q266" s="16" t="s">
        <v>891</v>
      </c>
      <c r="R266" s="16" t="s">
        <v>93</v>
      </c>
      <c r="S266" s="28" t="s">
        <v>2629</v>
      </c>
      <c r="T266" s="12">
        <v>1</v>
      </c>
      <c r="U266" s="12" t="s">
        <v>2964</v>
      </c>
      <c r="V266" s="17" t="s">
        <v>3010</v>
      </c>
      <c r="W266" s="38" t="s">
        <v>1597</v>
      </c>
      <c r="X266" s="12" t="s">
        <v>1595</v>
      </c>
      <c r="Y266" s="17" t="s">
        <v>109</v>
      </c>
      <c r="Z266" s="27"/>
      <c r="AA266" s="66"/>
    </row>
    <row r="267" spans="1:27" s="78" customFormat="1" ht="70">
      <c r="A267" s="13" t="s">
        <v>2559</v>
      </c>
      <c r="B267" s="13" t="s">
        <v>56</v>
      </c>
      <c r="C267" s="12">
        <v>266</v>
      </c>
      <c r="D267" s="33" t="s">
        <v>1449</v>
      </c>
      <c r="E267" s="15" t="s">
        <v>1450</v>
      </c>
      <c r="F267" s="12" t="s">
        <v>58</v>
      </c>
      <c r="G267" s="12" t="s">
        <v>148</v>
      </c>
      <c r="H267" s="12" t="s">
        <v>1132</v>
      </c>
      <c r="I267" s="33" t="s">
        <v>221</v>
      </c>
      <c r="J267" s="48">
        <v>2016</v>
      </c>
      <c r="K267" s="16">
        <v>2018</v>
      </c>
      <c r="L267" s="16" t="s">
        <v>217</v>
      </c>
      <c r="M267" s="48" t="s">
        <v>149</v>
      </c>
      <c r="N267" s="12"/>
      <c r="O267" s="16" t="s">
        <v>59</v>
      </c>
      <c r="P267" s="16" t="s">
        <v>57</v>
      </c>
      <c r="Q267" s="16" t="s">
        <v>891</v>
      </c>
      <c r="R267" s="15" t="s">
        <v>93</v>
      </c>
      <c r="S267" s="28" t="s">
        <v>2629</v>
      </c>
      <c r="T267" s="12">
        <v>2</v>
      </c>
      <c r="U267" s="15" t="s">
        <v>2980</v>
      </c>
      <c r="V267" s="30" t="s">
        <v>3011</v>
      </c>
      <c r="W267" s="38" t="s">
        <v>1612</v>
      </c>
      <c r="X267" s="15" t="s">
        <v>895</v>
      </c>
      <c r="Y267" s="30" t="s">
        <v>1614</v>
      </c>
      <c r="Z267" s="67"/>
      <c r="AA267" s="66"/>
    </row>
    <row r="268" spans="1:27" s="78" customFormat="1" ht="87.5">
      <c r="A268" s="13" t="s">
        <v>2559</v>
      </c>
      <c r="B268" s="13" t="s">
        <v>56</v>
      </c>
      <c r="C268" s="12">
        <v>267</v>
      </c>
      <c r="D268" s="33" t="s">
        <v>1451</v>
      </c>
      <c r="E268" s="15" t="s">
        <v>1452</v>
      </c>
      <c r="F268" s="12" t="s">
        <v>58</v>
      </c>
      <c r="G268" s="12" t="s">
        <v>148</v>
      </c>
      <c r="H268" s="12" t="s">
        <v>1132</v>
      </c>
      <c r="I268" s="33" t="s">
        <v>222</v>
      </c>
      <c r="J268" s="48">
        <v>2016</v>
      </c>
      <c r="K268" s="16">
        <v>2018</v>
      </c>
      <c r="L268" s="16" t="s">
        <v>217</v>
      </c>
      <c r="M268" s="48" t="s">
        <v>149</v>
      </c>
      <c r="N268" s="12"/>
      <c r="O268" s="16" t="s">
        <v>59</v>
      </c>
      <c r="P268" s="16" t="s">
        <v>57</v>
      </c>
      <c r="Q268" s="16" t="s">
        <v>891</v>
      </c>
      <c r="R268" s="15" t="s">
        <v>93</v>
      </c>
      <c r="S268" s="28" t="s">
        <v>2631</v>
      </c>
      <c r="T268" s="12">
        <v>0</v>
      </c>
      <c r="U268" s="12"/>
      <c r="V268" s="17"/>
      <c r="W268" s="38"/>
      <c r="X268" s="12"/>
      <c r="Y268" s="17"/>
      <c r="Z268" s="67"/>
      <c r="AA268" s="66"/>
    </row>
    <row r="269" spans="1:27" s="78" customFormat="1" ht="122.5">
      <c r="A269" s="13" t="s">
        <v>2559</v>
      </c>
      <c r="B269" s="13" t="s">
        <v>11</v>
      </c>
      <c r="C269" s="12">
        <v>268</v>
      </c>
      <c r="D269" s="33" t="s">
        <v>1224</v>
      </c>
      <c r="E269" s="16" t="s">
        <v>1648</v>
      </c>
      <c r="F269" s="12" t="s">
        <v>1647</v>
      </c>
      <c r="G269" s="12" t="s">
        <v>148</v>
      </c>
      <c r="H269" s="12" t="s">
        <v>1132</v>
      </c>
      <c r="I269" s="33" t="s">
        <v>302</v>
      </c>
      <c r="J269" s="12">
        <v>2018</v>
      </c>
      <c r="K269" s="12">
        <v>2020</v>
      </c>
      <c r="L269" s="16" t="s">
        <v>217</v>
      </c>
      <c r="M269" s="16" t="s">
        <v>149</v>
      </c>
      <c r="N269" s="16" t="s">
        <v>303</v>
      </c>
      <c r="O269" s="16" t="s">
        <v>59</v>
      </c>
      <c r="P269" s="12" t="s">
        <v>57</v>
      </c>
      <c r="Q269" s="48" t="s">
        <v>891</v>
      </c>
      <c r="R269" s="15" t="s">
        <v>93</v>
      </c>
      <c r="S269" s="28" t="s">
        <v>2631</v>
      </c>
      <c r="T269" s="12">
        <v>0</v>
      </c>
      <c r="U269" s="12"/>
      <c r="V269" s="17"/>
      <c r="W269" s="38"/>
      <c r="X269" s="12"/>
      <c r="Y269" s="17"/>
      <c r="Z269" s="83"/>
      <c r="AA269" s="66"/>
    </row>
    <row r="270" spans="1:27" s="78" customFormat="1" ht="87.5">
      <c r="A270" s="13" t="s">
        <v>2559</v>
      </c>
      <c r="B270" s="13" t="s">
        <v>11</v>
      </c>
      <c r="C270" s="12">
        <v>269</v>
      </c>
      <c r="D270" s="33" t="s">
        <v>1165</v>
      </c>
      <c r="E270" s="16" t="s">
        <v>1651</v>
      </c>
      <c r="F270" s="12" t="s">
        <v>58</v>
      </c>
      <c r="G270" s="12" t="s">
        <v>148</v>
      </c>
      <c r="H270" s="12" t="s">
        <v>1132</v>
      </c>
      <c r="I270" s="33" t="s">
        <v>223</v>
      </c>
      <c r="J270" s="12">
        <v>2018</v>
      </c>
      <c r="K270" s="12">
        <v>2020</v>
      </c>
      <c r="L270" s="16" t="s">
        <v>217</v>
      </c>
      <c r="M270" s="16" t="s">
        <v>149</v>
      </c>
      <c r="N270" s="12"/>
      <c r="O270" s="16" t="s">
        <v>59</v>
      </c>
      <c r="P270" s="12" t="s">
        <v>57</v>
      </c>
      <c r="Q270" s="48" t="s">
        <v>891</v>
      </c>
      <c r="R270" s="15" t="s">
        <v>93</v>
      </c>
      <c r="S270" s="28" t="s">
        <v>2631</v>
      </c>
      <c r="T270" s="12">
        <v>0</v>
      </c>
      <c r="U270" s="12"/>
      <c r="V270" s="17"/>
      <c r="W270" s="38"/>
      <c r="X270" s="12"/>
      <c r="Y270" s="17"/>
      <c r="Z270" s="83"/>
      <c r="AA270" s="66"/>
    </row>
    <row r="271" spans="1:27" s="57" customFormat="1" ht="87.5">
      <c r="A271" s="13" t="s">
        <v>2559</v>
      </c>
      <c r="B271" s="41" t="s">
        <v>11</v>
      </c>
      <c r="C271" s="12">
        <v>270</v>
      </c>
      <c r="D271" s="70" t="s">
        <v>1226</v>
      </c>
      <c r="E271" s="16" t="s">
        <v>1649</v>
      </c>
      <c r="F271" s="12" t="s">
        <v>58</v>
      </c>
      <c r="G271" s="12" t="s">
        <v>148</v>
      </c>
      <c r="H271" s="12" t="s">
        <v>1132</v>
      </c>
      <c r="I271" s="33" t="s">
        <v>304</v>
      </c>
      <c r="J271" s="12">
        <v>2019</v>
      </c>
      <c r="K271" s="12">
        <v>2021</v>
      </c>
      <c r="L271" s="16" t="s">
        <v>217</v>
      </c>
      <c r="M271" s="16" t="s">
        <v>149</v>
      </c>
      <c r="N271" s="16" t="s">
        <v>303</v>
      </c>
      <c r="O271" s="16" t="s">
        <v>59</v>
      </c>
      <c r="P271" s="12" t="s">
        <v>57</v>
      </c>
      <c r="Q271" s="48" t="s">
        <v>891</v>
      </c>
      <c r="R271" s="15" t="s">
        <v>93</v>
      </c>
      <c r="S271" s="28" t="s">
        <v>2629</v>
      </c>
      <c r="T271" s="12">
        <v>2</v>
      </c>
      <c r="U271" s="15" t="s">
        <v>2958</v>
      </c>
      <c r="V271" s="30" t="s">
        <v>2942</v>
      </c>
      <c r="W271" s="38" t="s">
        <v>305</v>
      </c>
      <c r="X271" s="15" t="s">
        <v>2943</v>
      </c>
      <c r="Y271" s="17" t="s">
        <v>217</v>
      </c>
      <c r="Z271" s="83"/>
      <c r="AA271" s="66"/>
    </row>
    <row r="272" spans="1:27" s="57" customFormat="1" ht="52.5">
      <c r="A272" s="13" t="s">
        <v>2559</v>
      </c>
      <c r="B272" s="13" t="s">
        <v>11</v>
      </c>
      <c r="C272" s="12">
        <v>271</v>
      </c>
      <c r="D272" s="69" t="s">
        <v>1225</v>
      </c>
      <c r="E272" s="16" t="s">
        <v>1650</v>
      </c>
      <c r="F272" s="12" t="s">
        <v>58</v>
      </c>
      <c r="G272" s="12" t="s">
        <v>148</v>
      </c>
      <c r="H272" s="12" t="s">
        <v>1132</v>
      </c>
      <c r="I272" s="40" t="s">
        <v>306</v>
      </c>
      <c r="J272" s="12">
        <v>2021</v>
      </c>
      <c r="K272" s="12">
        <v>2022</v>
      </c>
      <c r="L272" s="61" t="s">
        <v>217</v>
      </c>
      <c r="M272" s="16" t="s">
        <v>149</v>
      </c>
      <c r="N272" s="16" t="s">
        <v>303</v>
      </c>
      <c r="O272" s="16" t="s">
        <v>59</v>
      </c>
      <c r="P272" s="12" t="s">
        <v>57</v>
      </c>
      <c r="Q272" s="48" t="s">
        <v>891</v>
      </c>
      <c r="R272" s="15" t="s">
        <v>93</v>
      </c>
      <c r="S272" s="28" t="s">
        <v>2631</v>
      </c>
      <c r="T272" s="12">
        <v>0</v>
      </c>
      <c r="U272" s="12"/>
      <c r="V272" s="17"/>
      <c r="W272" s="38"/>
      <c r="X272" s="12"/>
      <c r="Y272" s="17"/>
      <c r="Z272" s="83"/>
      <c r="AA272" s="66"/>
    </row>
    <row r="273" spans="1:27" s="57" customFormat="1" ht="70">
      <c r="A273" s="13" t="s">
        <v>2559</v>
      </c>
      <c r="B273" s="13" t="s">
        <v>11</v>
      </c>
      <c r="C273" s="12">
        <v>272</v>
      </c>
      <c r="D273" s="38" t="s">
        <v>883</v>
      </c>
      <c r="E273" s="162" t="s">
        <v>2866</v>
      </c>
      <c r="F273" s="12" t="s">
        <v>58</v>
      </c>
      <c r="G273" s="12" t="s">
        <v>148</v>
      </c>
      <c r="H273" s="164" t="s">
        <v>1132</v>
      </c>
      <c r="I273" s="43" t="s">
        <v>370</v>
      </c>
      <c r="J273" s="12">
        <v>2022</v>
      </c>
      <c r="K273" s="12">
        <v>2024</v>
      </c>
      <c r="L273" s="15" t="s">
        <v>111</v>
      </c>
      <c r="M273" s="15" t="s">
        <v>149</v>
      </c>
      <c r="N273" s="16" t="s">
        <v>884</v>
      </c>
      <c r="O273" s="16" t="s">
        <v>59</v>
      </c>
      <c r="P273" s="12" t="s">
        <v>57</v>
      </c>
      <c r="Q273" s="48" t="s">
        <v>891</v>
      </c>
      <c r="R273" s="15" t="s">
        <v>93</v>
      </c>
      <c r="S273" s="28" t="s">
        <v>2631</v>
      </c>
      <c r="T273" s="12">
        <v>0</v>
      </c>
      <c r="U273" s="12"/>
      <c r="V273" s="17"/>
      <c r="W273" s="38"/>
      <c r="X273" s="12"/>
      <c r="Y273" s="17"/>
      <c r="Z273" s="67"/>
      <c r="AA273" s="66"/>
    </row>
    <row r="274" spans="1:27" s="57" customFormat="1" ht="70">
      <c r="A274" s="13" t="s">
        <v>2559</v>
      </c>
      <c r="B274" s="13" t="s">
        <v>11</v>
      </c>
      <c r="C274" s="12">
        <v>273</v>
      </c>
      <c r="D274" s="38" t="s">
        <v>885</v>
      </c>
      <c r="E274" s="15" t="s">
        <v>888</v>
      </c>
      <c r="F274" s="12" t="s">
        <v>58</v>
      </c>
      <c r="G274" s="12" t="s">
        <v>148</v>
      </c>
      <c r="H274" s="12" t="s">
        <v>164</v>
      </c>
      <c r="I274" s="43" t="s">
        <v>371</v>
      </c>
      <c r="J274" s="12">
        <v>2022</v>
      </c>
      <c r="K274" s="12">
        <v>2024</v>
      </c>
      <c r="L274" s="15" t="s">
        <v>111</v>
      </c>
      <c r="M274" s="15" t="s">
        <v>149</v>
      </c>
      <c r="N274" s="16" t="s">
        <v>884</v>
      </c>
      <c r="O274" s="16" t="s">
        <v>59</v>
      </c>
      <c r="P274" s="12" t="s">
        <v>57</v>
      </c>
      <c r="Q274" s="48" t="s">
        <v>891</v>
      </c>
      <c r="R274" s="15" t="s">
        <v>93</v>
      </c>
      <c r="S274" s="28" t="s">
        <v>2631</v>
      </c>
      <c r="T274" s="12">
        <v>0</v>
      </c>
      <c r="U274" s="12"/>
      <c r="V274" s="17"/>
      <c r="W274" s="38"/>
      <c r="X274" s="12"/>
      <c r="Y274" s="17"/>
      <c r="Z274" s="67"/>
      <c r="AA274" s="66"/>
    </row>
    <row r="275" spans="1:27" s="57" customFormat="1" ht="52.5">
      <c r="A275" s="28" t="s">
        <v>2559</v>
      </c>
      <c r="B275" s="28" t="s">
        <v>11</v>
      </c>
      <c r="C275" s="141">
        <v>274</v>
      </c>
      <c r="D275" s="142" t="s">
        <v>2591</v>
      </c>
      <c r="E275" s="316" t="s">
        <v>2568</v>
      </c>
      <c r="F275" s="141" t="s">
        <v>58</v>
      </c>
      <c r="G275" s="158" t="s">
        <v>2712</v>
      </c>
      <c r="H275" s="164" t="s">
        <v>164</v>
      </c>
      <c r="I275" s="337" t="s">
        <v>2593</v>
      </c>
      <c r="J275" s="210">
        <v>2025</v>
      </c>
      <c r="K275" s="210">
        <v>2026</v>
      </c>
      <c r="L275" s="15" t="s">
        <v>111</v>
      </c>
      <c r="M275" s="15" t="s">
        <v>149</v>
      </c>
      <c r="N275" s="163" t="s">
        <v>3134</v>
      </c>
      <c r="O275" s="16" t="s">
        <v>59</v>
      </c>
      <c r="P275" s="29" t="s">
        <v>57</v>
      </c>
      <c r="Q275" s="143" t="s">
        <v>864</v>
      </c>
      <c r="R275" s="143" t="s">
        <v>93</v>
      </c>
      <c r="S275" s="28" t="s">
        <v>2631</v>
      </c>
      <c r="T275" s="29">
        <v>0</v>
      </c>
      <c r="U275" s="29"/>
      <c r="V275" s="28"/>
      <c r="W275" s="108"/>
      <c r="X275" s="29"/>
      <c r="Y275" s="28"/>
      <c r="Z275" s="144"/>
      <c r="AA275" s="66"/>
    </row>
    <row r="276" spans="1:27" s="57" customFormat="1" ht="52.5">
      <c r="A276" s="28" t="s">
        <v>2559</v>
      </c>
      <c r="B276" s="28" t="s">
        <v>11</v>
      </c>
      <c r="C276" s="141">
        <v>275</v>
      </c>
      <c r="D276" s="142" t="s">
        <v>2597</v>
      </c>
      <c r="E276" s="143" t="s">
        <v>2598</v>
      </c>
      <c r="F276" s="141" t="s">
        <v>58</v>
      </c>
      <c r="G276" s="158" t="s">
        <v>2867</v>
      </c>
      <c r="H276" s="164" t="s">
        <v>164</v>
      </c>
      <c r="I276" s="337" t="s">
        <v>2599</v>
      </c>
      <c r="J276" s="210">
        <v>2025</v>
      </c>
      <c r="K276" s="210">
        <v>2026</v>
      </c>
      <c r="L276" s="15" t="s">
        <v>111</v>
      </c>
      <c r="M276" s="15" t="s">
        <v>149</v>
      </c>
      <c r="N276" s="163" t="s">
        <v>3134</v>
      </c>
      <c r="O276" s="16" t="s">
        <v>59</v>
      </c>
      <c r="P276" s="29" t="s">
        <v>57</v>
      </c>
      <c r="Q276" s="143" t="s">
        <v>864</v>
      </c>
      <c r="R276" s="143" t="s">
        <v>44</v>
      </c>
      <c r="S276" s="28" t="s">
        <v>2631</v>
      </c>
      <c r="T276" s="29">
        <v>0</v>
      </c>
      <c r="U276" s="29"/>
      <c r="V276" s="28"/>
      <c r="W276" s="108"/>
      <c r="X276" s="29"/>
      <c r="Y276" s="28"/>
      <c r="Z276" s="146"/>
      <c r="AA276" s="167"/>
    </row>
    <row r="277" spans="1:27" s="57" customFormat="1" ht="52.5">
      <c r="A277" s="13" t="s">
        <v>2559</v>
      </c>
      <c r="B277" s="13" t="s">
        <v>56</v>
      </c>
      <c r="C277" s="12">
        <v>276</v>
      </c>
      <c r="D277" s="33" t="s">
        <v>1498</v>
      </c>
      <c r="E277" s="15" t="s">
        <v>1499</v>
      </c>
      <c r="F277" s="12" t="s">
        <v>58</v>
      </c>
      <c r="G277" s="13" t="s">
        <v>269</v>
      </c>
      <c r="H277" s="12" t="s">
        <v>1132</v>
      </c>
      <c r="I277" s="33" t="s">
        <v>277</v>
      </c>
      <c r="J277" s="28">
        <v>2009</v>
      </c>
      <c r="K277" s="28">
        <v>2012</v>
      </c>
      <c r="L277" s="13" t="s">
        <v>278</v>
      </c>
      <c r="M277" s="15"/>
      <c r="N277" s="12"/>
      <c r="O277" s="16" t="s">
        <v>59</v>
      </c>
      <c r="P277" s="16" t="s">
        <v>57</v>
      </c>
      <c r="Q277" s="16" t="s">
        <v>891</v>
      </c>
      <c r="R277" s="15" t="s">
        <v>93</v>
      </c>
      <c r="S277" s="28" t="s">
        <v>2631</v>
      </c>
      <c r="T277" s="12">
        <v>0</v>
      </c>
      <c r="U277" s="12"/>
      <c r="V277" s="17"/>
      <c r="W277" s="38"/>
      <c r="X277" s="12"/>
      <c r="Y277" s="17"/>
      <c r="Z277" s="67"/>
      <c r="AA277" s="66"/>
    </row>
    <row r="278" spans="1:27" s="57" customFormat="1" ht="52.5">
      <c r="A278" s="13" t="s">
        <v>2559</v>
      </c>
      <c r="B278" s="28" t="s">
        <v>11</v>
      </c>
      <c r="C278" s="12">
        <v>277</v>
      </c>
      <c r="D278" s="108" t="s">
        <v>951</v>
      </c>
      <c r="E278" s="46" t="s">
        <v>2212</v>
      </c>
      <c r="F278" s="29" t="s">
        <v>954</v>
      </c>
      <c r="G278" s="29" t="s">
        <v>807</v>
      </c>
      <c r="H278" s="29" t="s">
        <v>811</v>
      </c>
      <c r="I278" s="48" t="s">
        <v>428</v>
      </c>
      <c r="J278" s="29">
        <v>2020</v>
      </c>
      <c r="K278" s="29">
        <v>2024</v>
      </c>
      <c r="L278" s="28" t="s">
        <v>429</v>
      </c>
      <c r="M278" s="28" t="s">
        <v>368</v>
      </c>
      <c r="N278" s="29"/>
      <c r="O278" s="16" t="s">
        <v>59</v>
      </c>
      <c r="P278" s="29" t="s">
        <v>57</v>
      </c>
      <c r="Q278" s="46" t="s">
        <v>859</v>
      </c>
      <c r="R278" s="15" t="s">
        <v>860</v>
      </c>
      <c r="S278" s="28" t="s">
        <v>2631</v>
      </c>
      <c r="T278" s="12">
        <v>0</v>
      </c>
      <c r="U278" s="12"/>
      <c r="V278" s="17"/>
      <c r="W278" s="38"/>
      <c r="X278" s="12"/>
      <c r="Y278" s="17"/>
      <c r="Z278" s="109"/>
      <c r="AA278" s="66"/>
    </row>
    <row r="279" spans="1:27" s="57" customFormat="1" ht="52.5">
      <c r="A279" s="28" t="s">
        <v>2559</v>
      </c>
      <c r="B279" s="28" t="s">
        <v>11</v>
      </c>
      <c r="C279" s="141">
        <v>278</v>
      </c>
      <c r="D279" s="142" t="s">
        <v>2604</v>
      </c>
      <c r="E279" s="347" t="s">
        <v>3190</v>
      </c>
      <c r="F279" s="141" t="s">
        <v>58</v>
      </c>
      <c r="G279" s="348" t="s">
        <v>3191</v>
      </c>
      <c r="H279" s="349" t="s">
        <v>1132</v>
      </c>
      <c r="I279" s="336" t="s">
        <v>2605</v>
      </c>
      <c r="J279" s="141">
        <v>2022</v>
      </c>
      <c r="K279" s="141">
        <v>2025</v>
      </c>
      <c r="L279" s="143" t="s">
        <v>2603</v>
      </c>
      <c r="M279" s="46" t="s">
        <v>2505</v>
      </c>
      <c r="N279" s="350" t="s">
        <v>2697</v>
      </c>
      <c r="O279" s="16" t="s">
        <v>59</v>
      </c>
      <c r="P279" s="29" t="s">
        <v>57</v>
      </c>
      <c r="Q279" s="143" t="s">
        <v>864</v>
      </c>
      <c r="R279" s="143" t="s">
        <v>44</v>
      </c>
      <c r="S279" s="28" t="s">
        <v>2631</v>
      </c>
      <c r="T279" s="29"/>
      <c r="U279" s="29"/>
      <c r="V279" s="28"/>
      <c r="W279" s="108"/>
      <c r="X279" s="29"/>
      <c r="Y279" s="28"/>
      <c r="Z279" s="146"/>
      <c r="AA279" s="56"/>
    </row>
    <row r="280" spans="1:27" s="57" customFormat="1" ht="35">
      <c r="A280" s="204" t="s">
        <v>2559</v>
      </c>
      <c r="B280" s="204" t="s">
        <v>11</v>
      </c>
      <c r="C280" s="204">
        <v>279</v>
      </c>
      <c r="D280" s="211" t="s">
        <v>952</v>
      </c>
      <c r="E280" s="205" t="s">
        <v>953</v>
      </c>
      <c r="F280" s="204" t="s">
        <v>954</v>
      </c>
      <c r="G280" s="204" t="s">
        <v>430</v>
      </c>
      <c r="H280" s="204" t="s">
        <v>2947</v>
      </c>
      <c r="I280" s="205" t="s">
        <v>431</v>
      </c>
      <c r="J280" s="204">
        <v>2023</v>
      </c>
      <c r="K280" s="204" t="s">
        <v>2868</v>
      </c>
      <c r="L280" s="204" t="s">
        <v>429</v>
      </c>
      <c r="M280" s="204" t="s">
        <v>368</v>
      </c>
      <c r="N280" s="204"/>
      <c r="O280" s="205" t="s">
        <v>204</v>
      </c>
      <c r="P280" s="204" t="s">
        <v>57</v>
      </c>
      <c r="Q280" s="205" t="s">
        <v>906</v>
      </c>
      <c r="R280" s="205" t="s">
        <v>93</v>
      </c>
      <c r="S280" s="204" t="s">
        <v>2631</v>
      </c>
      <c r="T280" s="12">
        <v>0</v>
      </c>
      <c r="U280" s="12"/>
      <c r="V280" s="17"/>
      <c r="W280" s="38"/>
      <c r="X280" s="12"/>
      <c r="Y280" s="17"/>
      <c r="Z280" s="67"/>
      <c r="AA280" s="66"/>
    </row>
    <row r="281" spans="1:27" s="57" customFormat="1" ht="35">
      <c r="A281" s="204" t="s">
        <v>2559</v>
      </c>
      <c r="B281" s="204" t="s">
        <v>11</v>
      </c>
      <c r="C281" s="204">
        <v>280</v>
      </c>
      <c r="D281" s="211" t="s">
        <v>955</v>
      </c>
      <c r="E281" s="205" t="s">
        <v>956</v>
      </c>
      <c r="F281" s="204" t="s">
        <v>954</v>
      </c>
      <c r="G281" s="204" t="s">
        <v>430</v>
      </c>
      <c r="H281" s="204" t="s">
        <v>2947</v>
      </c>
      <c r="I281" s="205" t="s">
        <v>432</v>
      </c>
      <c r="J281" s="204">
        <v>2023</v>
      </c>
      <c r="K281" s="204" t="s">
        <v>2868</v>
      </c>
      <c r="L281" s="204" t="s">
        <v>429</v>
      </c>
      <c r="M281" s="204" t="s">
        <v>368</v>
      </c>
      <c r="N281" s="204"/>
      <c r="O281" s="205" t="s">
        <v>204</v>
      </c>
      <c r="P281" s="204" t="s">
        <v>57</v>
      </c>
      <c r="Q281" s="205" t="s">
        <v>906</v>
      </c>
      <c r="R281" s="205" t="s">
        <v>93</v>
      </c>
      <c r="S281" s="204" t="s">
        <v>2631</v>
      </c>
      <c r="T281" s="12">
        <v>0</v>
      </c>
      <c r="U281" s="12"/>
      <c r="V281" s="17"/>
      <c r="W281" s="38"/>
      <c r="X281" s="12"/>
      <c r="Y281" s="17"/>
      <c r="Z281" s="67"/>
      <c r="AA281" s="56" t="s">
        <v>2805</v>
      </c>
    </row>
    <row r="282" spans="1:27" s="57" customFormat="1" ht="70">
      <c r="A282" s="28" t="s">
        <v>2559</v>
      </c>
      <c r="B282" s="28" t="s">
        <v>11</v>
      </c>
      <c r="C282" s="141">
        <v>281</v>
      </c>
      <c r="D282" s="142" t="s">
        <v>2600</v>
      </c>
      <c r="E282" s="143" t="s">
        <v>2601</v>
      </c>
      <c r="F282" s="141" t="s">
        <v>58</v>
      </c>
      <c r="G282" s="158" t="s">
        <v>2867</v>
      </c>
      <c r="H282" s="210" t="s">
        <v>164</v>
      </c>
      <c r="I282" s="212" t="s">
        <v>2602</v>
      </c>
      <c r="J282" s="210">
        <v>2024</v>
      </c>
      <c r="K282" s="210">
        <v>2026</v>
      </c>
      <c r="L282" s="213" t="s">
        <v>2603</v>
      </c>
      <c r="M282" s="15" t="s">
        <v>3141</v>
      </c>
      <c r="N282" s="162" t="s">
        <v>3189</v>
      </c>
      <c r="O282" s="16" t="s">
        <v>59</v>
      </c>
      <c r="P282" s="29" t="s">
        <v>57</v>
      </c>
      <c r="Q282" s="143" t="s">
        <v>864</v>
      </c>
      <c r="R282" s="143" t="s">
        <v>44</v>
      </c>
      <c r="S282" s="28" t="s">
        <v>2631</v>
      </c>
      <c r="T282" s="29">
        <v>0</v>
      </c>
      <c r="U282" s="29"/>
      <c r="V282" s="28"/>
      <c r="W282" s="108"/>
      <c r="X282" s="29"/>
      <c r="Y282" s="28"/>
      <c r="Z282" s="146"/>
      <c r="AA282" s="66"/>
    </row>
    <row r="283" spans="1:27" s="78" customFormat="1" ht="70">
      <c r="A283" s="13" t="s">
        <v>2559</v>
      </c>
      <c r="B283" s="13" t="s">
        <v>11</v>
      </c>
      <c r="C283" s="12">
        <v>282</v>
      </c>
      <c r="D283" s="33" t="s">
        <v>1278</v>
      </c>
      <c r="E283" s="16" t="s">
        <v>1276</v>
      </c>
      <c r="F283" s="12" t="s">
        <v>224</v>
      </c>
      <c r="G283" s="13" t="s">
        <v>365</v>
      </c>
      <c r="H283" s="12" t="s">
        <v>1132</v>
      </c>
      <c r="I283" s="14" t="s">
        <v>366</v>
      </c>
      <c r="J283" s="12">
        <v>2018</v>
      </c>
      <c r="K283" s="12">
        <v>2021</v>
      </c>
      <c r="L283" s="16" t="s">
        <v>367</v>
      </c>
      <c r="M283" s="16" t="s">
        <v>2505</v>
      </c>
      <c r="N283" s="12"/>
      <c r="O283" s="16" t="s">
        <v>59</v>
      </c>
      <c r="P283" s="12" t="s">
        <v>57</v>
      </c>
      <c r="Q283" s="16" t="s">
        <v>891</v>
      </c>
      <c r="R283" s="15" t="s">
        <v>93</v>
      </c>
      <c r="S283" s="28" t="s">
        <v>2631</v>
      </c>
      <c r="T283" s="12">
        <v>0</v>
      </c>
      <c r="U283" s="12"/>
      <c r="V283" s="17"/>
      <c r="W283" s="38"/>
      <c r="X283" s="12"/>
      <c r="Y283" s="17"/>
      <c r="Z283" s="83"/>
      <c r="AA283" s="56"/>
    </row>
    <row r="284" spans="1:27" s="78" customFormat="1" ht="70">
      <c r="A284" s="13" t="s">
        <v>2559</v>
      </c>
      <c r="B284" s="13" t="s">
        <v>11</v>
      </c>
      <c r="C284" s="12">
        <v>283</v>
      </c>
      <c r="D284" s="33" t="s">
        <v>1279</v>
      </c>
      <c r="E284" s="16" t="s">
        <v>1277</v>
      </c>
      <c r="F284" s="12" t="s">
        <v>224</v>
      </c>
      <c r="G284" s="13" t="s">
        <v>365</v>
      </c>
      <c r="H284" s="12" t="s">
        <v>1132</v>
      </c>
      <c r="I284" s="14" t="s">
        <v>369</v>
      </c>
      <c r="J284" s="12">
        <v>2018</v>
      </c>
      <c r="K284" s="12">
        <v>2022</v>
      </c>
      <c r="L284" s="16" t="s">
        <v>367</v>
      </c>
      <c r="M284" s="16" t="s">
        <v>2505</v>
      </c>
      <c r="N284" s="12"/>
      <c r="O284" s="16" t="s">
        <v>59</v>
      </c>
      <c r="P284" s="12" t="s">
        <v>57</v>
      </c>
      <c r="Q284" s="16" t="s">
        <v>891</v>
      </c>
      <c r="R284" s="15" t="s">
        <v>93</v>
      </c>
      <c r="S284" s="28" t="s">
        <v>2631</v>
      </c>
      <c r="T284" s="12">
        <v>0</v>
      </c>
      <c r="U284" s="12"/>
      <c r="V284" s="17"/>
      <c r="W284" s="38"/>
      <c r="X284" s="12"/>
      <c r="Y284" s="17"/>
      <c r="Z284" s="83"/>
      <c r="AA284" s="56"/>
    </row>
    <row r="285" spans="1:27" s="78" customFormat="1" ht="52.5">
      <c r="A285" s="28" t="s">
        <v>2559</v>
      </c>
      <c r="B285" s="28" t="s">
        <v>11</v>
      </c>
      <c r="C285" s="141">
        <v>284</v>
      </c>
      <c r="D285" s="142" t="s">
        <v>2594</v>
      </c>
      <c r="E285" s="160" t="s">
        <v>2869</v>
      </c>
      <c r="F285" s="210" t="s">
        <v>58</v>
      </c>
      <c r="G285" s="158" t="s">
        <v>2712</v>
      </c>
      <c r="H285" s="158" t="s">
        <v>164</v>
      </c>
      <c r="I285" s="212" t="s">
        <v>2595</v>
      </c>
      <c r="J285" s="210">
        <v>2025</v>
      </c>
      <c r="K285" s="210">
        <v>2025</v>
      </c>
      <c r="L285" s="213" t="s">
        <v>2596</v>
      </c>
      <c r="M285" s="15" t="s">
        <v>2505</v>
      </c>
      <c r="N285" s="162" t="s">
        <v>3139</v>
      </c>
      <c r="O285" s="16" t="s">
        <v>59</v>
      </c>
      <c r="P285" s="29" t="s">
        <v>57</v>
      </c>
      <c r="Q285" s="143" t="s">
        <v>864</v>
      </c>
      <c r="R285" s="143" t="s">
        <v>93</v>
      </c>
      <c r="S285" s="28" t="s">
        <v>2631</v>
      </c>
      <c r="T285" s="29">
        <v>0</v>
      </c>
      <c r="U285" s="29"/>
      <c r="V285" s="28"/>
      <c r="W285" s="108"/>
      <c r="X285" s="29"/>
      <c r="Y285" s="28"/>
      <c r="Z285" s="146"/>
      <c r="AA285" s="66"/>
    </row>
    <row r="286" spans="1:27" s="78" customFormat="1" ht="192.5">
      <c r="A286" s="13" t="s">
        <v>440</v>
      </c>
      <c r="B286" s="17" t="s">
        <v>1282</v>
      </c>
      <c r="C286" s="12">
        <v>285</v>
      </c>
      <c r="D286" s="33" t="s">
        <v>2358</v>
      </c>
      <c r="E286" s="16" t="s">
        <v>2362</v>
      </c>
      <c r="F286" s="13" t="s">
        <v>58</v>
      </c>
      <c r="G286" s="13" t="s">
        <v>2359</v>
      </c>
      <c r="H286" s="13" t="s">
        <v>1132</v>
      </c>
      <c r="I286" s="50" t="s">
        <v>2360</v>
      </c>
      <c r="J286" s="13">
        <v>2022</v>
      </c>
      <c r="K286" s="13">
        <v>2024</v>
      </c>
      <c r="L286" s="16" t="s">
        <v>2361</v>
      </c>
      <c r="M286" s="16" t="s">
        <v>2363</v>
      </c>
      <c r="N286" s="13"/>
      <c r="O286" s="16" t="s">
        <v>604</v>
      </c>
      <c r="P286" s="13" t="s">
        <v>538</v>
      </c>
      <c r="Q286" s="16" t="s">
        <v>859</v>
      </c>
      <c r="R286" s="16" t="s">
        <v>861</v>
      </c>
      <c r="S286" s="28" t="s">
        <v>2629</v>
      </c>
      <c r="T286" s="12">
        <v>1</v>
      </c>
      <c r="U286" s="15" t="s">
        <v>2985</v>
      </c>
      <c r="V286" s="17" t="s">
        <v>3012</v>
      </c>
      <c r="W286" s="38" t="s">
        <v>2364</v>
      </c>
      <c r="X286" s="12" t="s">
        <v>2365</v>
      </c>
      <c r="Y286" s="17" t="s">
        <v>2366</v>
      </c>
      <c r="Z286" s="59"/>
      <c r="AA286" s="56"/>
    </row>
    <row r="287" spans="1:27" s="78" customFormat="1" ht="192.5">
      <c r="A287" s="13" t="s">
        <v>440</v>
      </c>
      <c r="B287" s="17" t="s">
        <v>1282</v>
      </c>
      <c r="C287" s="12">
        <v>286</v>
      </c>
      <c r="D287" s="33" t="s">
        <v>2397</v>
      </c>
      <c r="E287" s="16" t="s">
        <v>2398</v>
      </c>
      <c r="F287" s="13" t="s">
        <v>58</v>
      </c>
      <c r="G287" s="13" t="s">
        <v>3179</v>
      </c>
      <c r="H287" s="13" t="s">
        <v>1132</v>
      </c>
      <c r="I287" s="50" t="s">
        <v>2399</v>
      </c>
      <c r="J287" s="13">
        <v>2023</v>
      </c>
      <c r="K287" s="13">
        <v>2024</v>
      </c>
      <c r="L287" s="16" t="s">
        <v>2400</v>
      </c>
      <c r="M287" s="16" t="s">
        <v>2401</v>
      </c>
      <c r="N287" s="13"/>
      <c r="O287" s="16" t="s">
        <v>604</v>
      </c>
      <c r="P287" s="13" t="s">
        <v>57</v>
      </c>
      <c r="Q287" s="16" t="s">
        <v>859</v>
      </c>
      <c r="R287" s="16" t="s">
        <v>860</v>
      </c>
      <c r="S287" s="28" t="s">
        <v>2631</v>
      </c>
      <c r="T287" s="12">
        <v>0</v>
      </c>
      <c r="U287" s="12"/>
      <c r="V287" s="17"/>
      <c r="W287" s="38"/>
      <c r="X287" s="12"/>
      <c r="Y287" s="17"/>
      <c r="Z287" s="67"/>
      <c r="AA287" s="56"/>
    </row>
    <row r="288" spans="1:27" s="78" customFormat="1" ht="280">
      <c r="A288" s="13" t="s">
        <v>440</v>
      </c>
      <c r="B288" s="16" t="s">
        <v>441</v>
      </c>
      <c r="C288" s="12">
        <v>287</v>
      </c>
      <c r="D288" s="38" t="s">
        <v>450</v>
      </c>
      <c r="E288" s="15" t="s">
        <v>1671</v>
      </c>
      <c r="F288" s="12" t="s">
        <v>770</v>
      </c>
      <c r="G288" s="13" t="s">
        <v>968</v>
      </c>
      <c r="H288" s="12" t="s">
        <v>1132</v>
      </c>
      <c r="I288" s="38" t="s">
        <v>451</v>
      </c>
      <c r="J288" s="12">
        <v>2018</v>
      </c>
      <c r="K288" s="12">
        <v>2022</v>
      </c>
      <c r="L288" s="15" t="s">
        <v>452</v>
      </c>
      <c r="M288" s="15" t="s">
        <v>969</v>
      </c>
      <c r="N288" s="12"/>
      <c r="O288" s="15" t="s">
        <v>763</v>
      </c>
      <c r="P288" s="12" t="s">
        <v>538</v>
      </c>
      <c r="Q288" s="16" t="s">
        <v>859</v>
      </c>
      <c r="R288" s="15" t="s">
        <v>860</v>
      </c>
      <c r="S288" s="28" t="s">
        <v>2631</v>
      </c>
      <c r="T288" s="12">
        <v>0</v>
      </c>
      <c r="U288" s="12"/>
      <c r="V288" s="17"/>
      <c r="W288" s="38"/>
      <c r="X288" s="12"/>
      <c r="Y288" s="17"/>
      <c r="Z288" s="83"/>
      <c r="AA288" s="56"/>
    </row>
    <row r="289" spans="1:27" s="78" customFormat="1" ht="140">
      <c r="A289" s="13" t="s">
        <v>440</v>
      </c>
      <c r="B289" s="17" t="s">
        <v>1282</v>
      </c>
      <c r="C289" s="12">
        <v>288</v>
      </c>
      <c r="D289" s="38" t="s">
        <v>966</v>
      </c>
      <c r="E289" s="15" t="s">
        <v>967</v>
      </c>
      <c r="F289" s="12" t="s">
        <v>770</v>
      </c>
      <c r="G289" s="12" t="s">
        <v>968</v>
      </c>
      <c r="H289" s="164" t="s">
        <v>1132</v>
      </c>
      <c r="I289" s="49" t="s">
        <v>454</v>
      </c>
      <c r="J289" s="12">
        <v>2021</v>
      </c>
      <c r="K289" s="164">
        <v>2024</v>
      </c>
      <c r="L289" s="15" t="s">
        <v>452</v>
      </c>
      <c r="M289" s="15" t="s">
        <v>969</v>
      </c>
      <c r="N289" s="12"/>
      <c r="O289" s="15" t="s">
        <v>604</v>
      </c>
      <c r="P289" s="12" t="s">
        <v>538</v>
      </c>
      <c r="Q289" s="15" t="s">
        <v>859</v>
      </c>
      <c r="R289" s="15" t="s">
        <v>860</v>
      </c>
      <c r="S289" s="28" t="s">
        <v>2631</v>
      </c>
      <c r="T289" s="12">
        <v>0</v>
      </c>
      <c r="U289" s="12"/>
      <c r="V289" s="17"/>
      <c r="W289" s="38"/>
      <c r="X289" s="12"/>
      <c r="Y289" s="17"/>
      <c r="Z289" s="67"/>
      <c r="AA289" s="56" t="s">
        <v>2805</v>
      </c>
    </row>
    <row r="290" spans="1:27" s="78" customFormat="1" ht="122.5">
      <c r="A290" s="13" t="s">
        <v>440</v>
      </c>
      <c r="B290" s="17" t="s">
        <v>1282</v>
      </c>
      <c r="C290" s="12">
        <v>289</v>
      </c>
      <c r="D290" s="38" t="s">
        <v>970</v>
      </c>
      <c r="E290" s="15" t="s">
        <v>971</v>
      </c>
      <c r="F290" s="12" t="s">
        <v>770</v>
      </c>
      <c r="G290" s="12" t="s">
        <v>968</v>
      </c>
      <c r="H290" s="164" t="s">
        <v>1132</v>
      </c>
      <c r="I290" s="49" t="s">
        <v>455</v>
      </c>
      <c r="J290" s="12">
        <v>2021</v>
      </c>
      <c r="K290" s="12">
        <v>2025</v>
      </c>
      <c r="L290" s="15" t="s">
        <v>452</v>
      </c>
      <c r="M290" s="15" t="s">
        <v>969</v>
      </c>
      <c r="N290" s="12"/>
      <c r="O290" s="15" t="s">
        <v>604</v>
      </c>
      <c r="P290" s="12" t="s">
        <v>538</v>
      </c>
      <c r="Q290" s="15" t="s">
        <v>859</v>
      </c>
      <c r="R290" s="15" t="s">
        <v>860</v>
      </c>
      <c r="S290" s="28" t="s">
        <v>2631</v>
      </c>
      <c r="T290" s="12">
        <v>0</v>
      </c>
      <c r="U290" s="12"/>
      <c r="V290" s="17"/>
      <c r="W290" s="38"/>
      <c r="X290" s="12"/>
      <c r="Y290" s="17"/>
      <c r="Z290" s="67"/>
      <c r="AA290" s="56"/>
    </row>
    <row r="291" spans="1:27" s="78" customFormat="1" ht="192.5">
      <c r="A291" s="13" t="s">
        <v>440</v>
      </c>
      <c r="B291" s="13" t="s">
        <v>441</v>
      </c>
      <c r="C291" s="12">
        <v>290</v>
      </c>
      <c r="D291" s="33" t="s">
        <v>1523</v>
      </c>
      <c r="E291" s="15" t="s">
        <v>1524</v>
      </c>
      <c r="F291" s="12" t="s">
        <v>770</v>
      </c>
      <c r="G291" s="12" t="s">
        <v>968</v>
      </c>
      <c r="H291" s="12" t="s">
        <v>1132</v>
      </c>
      <c r="I291" s="33" t="s">
        <v>442</v>
      </c>
      <c r="J291" s="12">
        <v>2010</v>
      </c>
      <c r="K291" s="16">
        <v>2016</v>
      </c>
      <c r="L291" s="13" t="s">
        <v>443</v>
      </c>
      <c r="M291" s="15" t="s">
        <v>1924</v>
      </c>
      <c r="N291" s="12"/>
      <c r="O291" s="16" t="s">
        <v>604</v>
      </c>
      <c r="P291" s="16" t="s">
        <v>57</v>
      </c>
      <c r="Q291" s="15" t="s">
        <v>859</v>
      </c>
      <c r="R291" s="15" t="s">
        <v>860</v>
      </c>
      <c r="S291" s="28" t="s">
        <v>2631</v>
      </c>
      <c r="T291" s="12">
        <v>0</v>
      </c>
      <c r="U291" s="12"/>
      <c r="V291" s="17"/>
      <c r="W291" s="38"/>
      <c r="X291" s="12"/>
      <c r="Y291" s="17"/>
      <c r="Z291" s="67"/>
      <c r="AA291" s="56"/>
    </row>
    <row r="292" spans="1:27" s="78" customFormat="1" ht="122.5">
      <c r="A292" s="13" t="s">
        <v>440</v>
      </c>
      <c r="B292" s="13" t="s">
        <v>441</v>
      </c>
      <c r="C292" s="12">
        <v>291</v>
      </c>
      <c r="D292" s="33" t="s">
        <v>1525</v>
      </c>
      <c r="E292" s="15" t="s">
        <v>1526</v>
      </c>
      <c r="F292" s="12" t="s">
        <v>770</v>
      </c>
      <c r="G292" s="13" t="s">
        <v>968</v>
      </c>
      <c r="H292" s="12" t="s">
        <v>1132</v>
      </c>
      <c r="I292" s="33" t="s">
        <v>444</v>
      </c>
      <c r="J292" s="12">
        <v>2010</v>
      </c>
      <c r="K292" s="16">
        <v>2016</v>
      </c>
      <c r="L292" s="13" t="s">
        <v>443</v>
      </c>
      <c r="M292" s="16" t="s">
        <v>1924</v>
      </c>
      <c r="N292" s="12"/>
      <c r="O292" s="16" t="s">
        <v>604</v>
      </c>
      <c r="P292" s="16" t="s">
        <v>57</v>
      </c>
      <c r="Q292" s="15" t="s">
        <v>859</v>
      </c>
      <c r="R292" s="15" t="s">
        <v>860</v>
      </c>
      <c r="S292" s="28" t="s">
        <v>2631</v>
      </c>
      <c r="T292" s="12">
        <v>0</v>
      </c>
      <c r="U292" s="12"/>
      <c r="V292" s="17"/>
      <c r="W292" s="38"/>
      <c r="X292" s="12"/>
      <c r="Y292" s="17"/>
      <c r="Z292" s="67"/>
      <c r="AA292" s="56"/>
    </row>
    <row r="293" spans="1:27" s="78" customFormat="1" ht="87.5">
      <c r="A293" s="13" t="s">
        <v>440</v>
      </c>
      <c r="B293" s="13" t="s">
        <v>441</v>
      </c>
      <c r="C293" s="12">
        <v>292</v>
      </c>
      <c r="D293" s="33" t="s">
        <v>1527</v>
      </c>
      <c r="E293" s="15" t="s">
        <v>1528</v>
      </c>
      <c r="F293" s="12" t="s">
        <v>770</v>
      </c>
      <c r="G293" s="13" t="s">
        <v>968</v>
      </c>
      <c r="H293" s="12" t="s">
        <v>1132</v>
      </c>
      <c r="I293" s="33" t="s">
        <v>445</v>
      </c>
      <c r="J293" s="12">
        <v>2010</v>
      </c>
      <c r="K293" s="16">
        <v>2016</v>
      </c>
      <c r="L293" s="13" t="s">
        <v>443</v>
      </c>
      <c r="M293" s="16" t="s">
        <v>1924</v>
      </c>
      <c r="N293" s="12"/>
      <c r="O293" s="16" t="s">
        <v>604</v>
      </c>
      <c r="P293" s="16" t="s">
        <v>57</v>
      </c>
      <c r="Q293" s="15" t="s">
        <v>859</v>
      </c>
      <c r="R293" s="15" t="s">
        <v>860</v>
      </c>
      <c r="S293" s="28" t="s">
        <v>2631</v>
      </c>
      <c r="T293" s="12">
        <v>0</v>
      </c>
      <c r="U293" s="12"/>
      <c r="V293" s="17"/>
      <c r="W293" s="38"/>
      <c r="X293" s="12"/>
      <c r="Y293" s="17"/>
      <c r="Z293" s="67"/>
      <c r="AA293" s="56" t="s">
        <v>2805</v>
      </c>
    </row>
    <row r="294" spans="1:27" s="78" customFormat="1" ht="227.5">
      <c r="A294" s="13" t="s">
        <v>440</v>
      </c>
      <c r="B294" s="17" t="s">
        <v>1282</v>
      </c>
      <c r="C294" s="12">
        <v>293</v>
      </c>
      <c r="D294" s="33" t="s">
        <v>1918</v>
      </c>
      <c r="E294" s="16" t="s">
        <v>2552</v>
      </c>
      <c r="F294" s="12" t="s">
        <v>534</v>
      </c>
      <c r="G294" s="12" t="s">
        <v>1919</v>
      </c>
      <c r="H294" s="13" t="s">
        <v>1132</v>
      </c>
      <c r="I294" s="49" t="s">
        <v>1920</v>
      </c>
      <c r="J294" s="12">
        <v>2017</v>
      </c>
      <c r="K294" s="12">
        <v>2023</v>
      </c>
      <c r="L294" s="15" t="s">
        <v>1907</v>
      </c>
      <c r="M294" s="111"/>
      <c r="N294" s="15" t="s">
        <v>1921</v>
      </c>
      <c r="O294" s="15" t="s">
        <v>604</v>
      </c>
      <c r="P294" s="12" t="s">
        <v>57</v>
      </c>
      <c r="Q294" s="15" t="s">
        <v>859</v>
      </c>
      <c r="R294" s="15" t="s">
        <v>860</v>
      </c>
      <c r="S294" s="28" t="s">
        <v>2631</v>
      </c>
      <c r="T294" s="12">
        <v>0</v>
      </c>
      <c r="U294" s="12"/>
      <c r="V294" s="17"/>
      <c r="W294" s="38"/>
      <c r="X294" s="12"/>
      <c r="Y294" s="17"/>
      <c r="Z294" s="67"/>
      <c r="AA294" s="66" t="s">
        <v>2805</v>
      </c>
    </row>
    <row r="295" spans="1:27" s="78" customFormat="1" ht="280">
      <c r="A295" s="13" t="s">
        <v>440</v>
      </c>
      <c r="B295" s="16" t="s">
        <v>1282</v>
      </c>
      <c r="C295" s="12">
        <v>294</v>
      </c>
      <c r="D295" s="49" t="s">
        <v>1904</v>
      </c>
      <c r="E295" s="16" t="s">
        <v>2553</v>
      </c>
      <c r="F295" s="12" t="s">
        <v>534</v>
      </c>
      <c r="G295" s="17" t="s">
        <v>1905</v>
      </c>
      <c r="H295" s="12" t="s">
        <v>1132</v>
      </c>
      <c r="I295" s="97" t="s">
        <v>1906</v>
      </c>
      <c r="J295" s="12">
        <v>2017</v>
      </c>
      <c r="K295" s="12">
        <v>2023</v>
      </c>
      <c r="L295" s="64" t="s">
        <v>1907</v>
      </c>
      <c r="M295" s="15" t="s">
        <v>1907</v>
      </c>
      <c r="N295" s="15" t="s">
        <v>2251</v>
      </c>
      <c r="O295" s="16" t="s">
        <v>604</v>
      </c>
      <c r="P295" s="12" t="s">
        <v>538</v>
      </c>
      <c r="Q295" s="16" t="s">
        <v>859</v>
      </c>
      <c r="R295" s="15" t="s">
        <v>860</v>
      </c>
      <c r="S295" s="28" t="s">
        <v>2631</v>
      </c>
      <c r="T295" s="12">
        <v>0</v>
      </c>
      <c r="U295" s="12"/>
      <c r="V295" s="17"/>
      <c r="W295" s="38"/>
      <c r="X295" s="12"/>
      <c r="Y295" s="17"/>
      <c r="Z295" s="66"/>
      <c r="AA295" s="66"/>
    </row>
    <row r="296" spans="1:27" s="78" customFormat="1" ht="157.5">
      <c r="A296" s="13" t="s">
        <v>440</v>
      </c>
      <c r="B296" s="17" t="s">
        <v>1282</v>
      </c>
      <c r="C296" s="12">
        <v>295</v>
      </c>
      <c r="D296" s="33" t="s">
        <v>1922</v>
      </c>
      <c r="E296" s="163" t="s">
        <v>2757</v>
      </c>
      <c r="F296" s="12" t="s">
        <v>534</v>
      </c>
      <c r="G296" s="13" t="s">
        <v>1923</v>
      </c>
      <c r="H296" s="164" t="s">
        <v>1132</v>
      </c>
      <c r="I296" s="175" t="s">
        <v>2758</v>
      </c>
      <c r="J296" s="12">
        <v>2021</v>
      </c>
      <c r="K296" s="164">
        <v>2025</v>
      </c>
      <c r="L296" s="15" t="s">
        <v>1907</v>
      </c>
      <c r="M296" s="111"/>
      <c r="N296" s="15" t="s">
        <v>2251</v>
      </c>
      <c r="O296" s="15" t="s">
        <v>604</v>
      </c>
      <c r="P296" s="12" t="s">
        <v>57</v>
      </c>
      <c r="Q296" s="15" t="s">
        <v>859</v>
      </c>
      <c r="R296" s="15" t="s">
        <v>860</v>
      </c>
      <c r="S296" s="28" t="s">
        <v>2631</v>
      </c>
      <c r="T296" s="12">
        <v>0</v>
      </c>
      <c r="U296" s="12"/>
      <c r="V296" s="17"/>
      <c r="W296" s="38"/>
      <c r="X296" s="12"/>
      <c r="Y296" s="17"/>
      <c r="Z296" s="67"/>
      <c r="AA296" s="66" t="s">
        <v>2805</v>
      </c>
    </row>
    <row r="297" spans="1:27" s="78" customFormat="1" ht="409.5">
      <c r="A297" s="13" t="s">
        <v>440</v>
      </c>
      <c r="B297" s="30" t="s">
        <v>1282</v>
      </c>
      <c r="C297" s="12">
        <v>296</v>
      </c>
      <c r="D297" s="49" t="s">
        <v>1925</v>
      </c>
      <c r="E297" s="16" t="s">
        <v>2554</v>
      </c>
      <c r="F297" s="12" t="s">
        <v>534</v>
      </c>
      <c r="G297" s="17" t="s">
        <v>1926</v>
      </c>
      <c r="H297" s="12" t="s">
        <v>1132</v>
      </c>
      <c r="I297" s="49" t="s">
        <v>1927</v>
      </c>
      <c r="J297" s="12">
        <v>2008</v>
      </c>
      <c r="K297" s="30">
        <v>2011</v>
      </c>
      <c r="L297" s="30" t="s">
        <v>1928</v>
      </c>
      <c r="M297" s="111"/>
      <c r="N297" s="12"/>
      <c r="O297" s="30" t="s">
        <v>604</v>
      </c>
      <c r="P297" s="30" t="s">
        <v>538</v>
      </c>
      <c r="Q297" s="15" t="s">
        <v>859</v>
      </c>
      <c r="R297" s="15" t="s">
        <v>860</v>
      </c>
      <c r="S297" s="28" t="s">
        <v>2629</v>
      </c>
      <c r="T297" s="12">
        <v>5</v>
      </c>
      <c r="U297" s="15" t="s">
        <v>2981</v>
      </c>
      <c r="V297" s="30" t="s">
        <v>3013</v>
      </c>
      <c r="W297" s="38" t="s">
        <v>1929</v>
      </c>
      <c r="X297" s="15" t="s">
        <v>3106</v>
      </c>
      <c r="Y297" s="30" t="s">
        <v>3105</v>
      </c>
      <c r="Z297" s="67"/>
      <c r="AA297" s="56"/>
    </row>
    <row r="298" spans="1:27" s="78" customFormat="1" ht="105">
      <c r="A298" s="13" t="s">
        <v>440</v>
      </c>
      <c r="B298" s="17" t="s">
        <v>1282</v>
      </c>
      <c r="C298" s="12">
        <v>297</v>
      </c>
      <c r="D298" s="33" t="s">
        <v>2387</v>
      </c>
      <c r="E298" s="16" t="s">
        <v>2388</v>
      </c>
      <c r="F298" s="13" t="s">
        <v>534</v>
      </c>
      <c r="G298" s="13" t="s">
        <v>2624</v>
      </c>
      <c r="H298" s="13" t="s">
        <v>1132</v>
      </c>
      <c r="I298" s="50" t="s">
        <v>2389</v>
      </c>
      <c r="J298" s="13">
        <v>2013</v>
      </c>
      <c r="K298" s="13">
        <v>2017</v>
      </c>
      <c r="L298" s="16" t="s">
        <v>2390</v>
      </c>
      <c r="M298" s="16"/>
      <c r="N298" s="13"/>
      <c r="O298" s="16" t="s">
        <v>604</v>
      </c>
      <c r="P298" s="13" t="s">
        <v>538</v>
      </c>
      <c r="Q298" s="16" t="s">
        <v>859</v>
      </c>
      <c r="R298" s="16" t="s">
        <v>860</v>
      </c>
      <c r="S298" s="28" t="s">
        <v>2631</v>
      </c>
      <c r="T298" s="12">
        <v>0</v>
      </c>
      <c r="U298" s="12"/>
      <c r="V298" s="17"/>
      <c r="W298" s="38"/>
      <c r="X298" s="12"/>
      <c r="Y298" s="17"/>
      <c r="Z298" s="67"/>
      <c r="AA298" s="56"/>
    </row>
    <row r="299" spans="1:27" s="78" customFormat="1" ht="157.5">
      <c r="A299" s="13" t="s">
        <v>440</v>
      </c>
      <c r="B299" s="17" t="s">
        <v>1282</v>
      </c>
      <c r="C299" s="12">
        <v>298</v>
      </c>
      <c r="D299" s="38" t="s">
        <v>1908</v>
      </c>
      <c r="E299" s="15" t="s">
        <v>1909</v>
      </c>
      <c r="F299" s="12" t="s">
        <v>162</v>
      </c>
      <c r="G299" s="12" t="s">
        <v>1910</v>
      </c>
      <c r="H299" s="13" t="s">
        <v>1132</v>
      </c>
      <c r="I299" s="49" t="s">
        <v>1911</v>
      </c>
      <c r="J299" s="12">
        <v>2018</v>
      </c>
      <c r="K299" s="12">
        <v>2024</v>
      </c>
      <c r="L299" s="15" t="s">
        <v>1912</v>
      </c>
      <c r="M299" s="15" t="s">
        <v>1913</v>
      </c>
      <c r="N299" s="12"/>
      <c r="O299" s="15" t="s">
        <v>604</v>
      </c>
      <c r="P299" s="13" t="s">
        <v>538</v>
      </c>
      <c r="Q299" s="15" t="s">
        <v>858</v>
      </c>
      <c r="R299" s="15" t="s">
        <v>39</v>
      </c>
      <c r="S299" s="28" t="s">
        <v>2631</v>
      </c>
      <c r="T299" s="12">
        <v>0</v>
      </c>
      <c r="U299" s="12"/>
      <c r="V299" s="17"/>
      <c r="W299" s="38"/>
      <c r="X299" s="12"/>
      <c r="Y299" s="17"/>
      <c r="Z299" s="67" t="s">
        <v>1136</v>
      </c>
      <c r="AA299" s="56"/>
    </row>
    <row r="300" spans="1:27" s="78" customFormat="1" ht="105">
      <c r="A300" s="13" t="s">
        <v>440</v>
      </c>
      <c r="B300" s="17" t="s">
        <v>1282</v>
      </c>
      <c r="C300" s="12">
        <v>299</v>
      </c>
      <c r="D300" s="33" t="s">
        <v>2250</v>
      </c>
      <c r="E300" s="15" t="s">
        <v>1914</v>
      </c>
      <c r="F300" s="12" t="s">
        <v>162</v>
      </c>
      <c r="G300" s="12" t="s">
        <v>1910</v>
      </c>
      <c r="H300" s="13" t="s">
        <v>164</v>
      </c>
      <c r="I300" s="49" t="s">
        <v>1915</v>
      </c>
      <c r="J300" s="12">
        <v>2023</v>
      </c>
      <c r="K300" s="12">
        <v>2027</v>
      </c>
      <c r="L300" s="15" t="s">
        <v>1916</v>
      </c>
      <c r="M300" s="15" t="s">
        <v>1917</v>
      </c>
      <c r="N300" s="12"/>
      <c r="O300" s="15" t="s">
        <v>763</v>
      </c>
      <c r="P300" s="13" t="s">
        <v>538</v>
      </c>
      <c r="Q300" s="15" t="s">
        <v>858</v>
      </c>
      <c r="R300" s="15" t="s">
        <v>39</v>
      </c>
      <c r="S300" s="28" t="s">
        <v>2631</v>
      </c>
      <c r="T300" s="12">
        <v>0</v>
      </c>
      <c r="U300" s="12"/>
      <c r="V300" s="17"/>
      <c r="W300" s="38"/>
      <c r="X300" s="12"/>
      <c r="Y300" s="17"/>
      <c r="Z300" s="67" t="s">
        <v>1136</v>
      </c>
      <c r="AA300" s="56"/>
    </row>
    <row r="301" spans="1:27" s="100" customFormat="1" ht="157.5">
      <c r="A301" s="13" t="s">
        <v>440</v>
      </c>
      <c r="B301" s="17" t="s">
        <v>1282</v>
      </c>
      <c r="C301" s="12">
        <v>300</v>
      </c>
      <c r="D301" s="33" t="s">
        <v>2383</v>
      </c>
      <c r="E301" s="16" t="s">
        <v>2384</v>
      </c>
      <c r="F301" s="13" t="s">
        <v>534</v>
      </c>
      <c r="G301" s="13" t="s">
        <v>2625</v>
      </c>
      <c r="H301" s="13" t="s">
        <v>1132</v>
      </c>
      <c r="I301" s="50" t="s">
        <v>2385</v>
      </c>
      <c r="J301" s="13">
        <v>2011</v>
      </c>
      <c r="K301" s="13">
        <v>2014</v>
      </c>
      <c r="L301" s="16" t="s">
        <v>2386</v>
      </c>
      <c r="M301" s="16"/>
      <c r="N301" s="13"/>
      <c r="O301" s="16" t="s">
        <v>604</v>
      </c>
      <c r="P301" s="13" t="s">
        <v>538</v>
      </c>
      <c r="Q301" s="16" t="s">
        <v>859</v>
      </c>
      <c r="R301" s="16" t="s">
        <v>860</v>
      </c>
      <c r="S301" s="28" t="s">
        <v>2631</v>
      </c>
      <c r="T301" s="12">
        <v>0</v>
      </c>
      <c r="U301" s="12"/>
      <c r="V301" s="17"/>
      <c r="W301" s="38"/>
      <c r="X301" s="12"/>
      <c r="Y301" s="17"/>
      <c r="Z301" s="67"/>
      <c r="AA301" s="56"/>
    </row>
    <row r="302" spans="1:27" s="78" customFormat="1" ht="175">
      <c r="A302" s="13" t="s">
        <v>440</v>
      </c>
      <c r="B302" s="17" t="s">
        <v>1282</v>
      </c>
      <c r="C302" s="12">
        <v>301</v>
      </c>
      <c r="D302" s="33" t="s">
        <v>2379</v>
      </c>
      <c r="E302" s="16" t="s">
        <v>2380</v>
      </c>
      <c r="F302" s="13" t="s">
        <v>2406</v>
      </c>
      <c r="G302" s="13" t="s">
        <v>2626</v>
      </c>
      <c r="H302" s="13" t="s">
        <v>1132</v>
      </c>
      <c r="I302" s="50" t="s">
        <v>2381</v>
      </c>
      <c r="J302" s="13">
        <v>2004</v>
      </c>
      <c r="K302" s="13">
        <v>2009</v>
      </c>
      <c r="L302" s="16" t="s">
        <v>2382</v>
      </c>
      <c r="M302" s="16"/>
      <c r="N302" s="13"/>
      <c r="O302" s="16" t="s">
        <v>604</v>
      </c>
      <c r="P302" s="13" t="s">
        <v>538</v>
      </c>
      <c r="Q302" s="16" t="s">
        <v>859</v>
      </c>
      <c r="R302" s="16" t="s">
        <v>860</v>
      </c>
      <c r="S302" s="28" t="s">
        <v>2631</v>
      </c>
      <c r="T302" s="12">
        <v>0</v>
      </c>
      <c r="U302" s="12"/>
      <c r="V302" s="17"/>
      <c r="W302" s="38"/>
      <c r="X302" s="12"/>
      <c r="Y302" s="17"/>
      <c r="Z302" s="67"/>
      <c r="AA302" s="56"/>
    </row>
    <row r="303" spans="1:27" s="78" customFormat="1" ht="210">
      <c r="A303" s="13" t="s">
        <v>440</v>
      </c>
      <c r="B303" s="17" t="s">
        <v>1282</v>
      </c>
      <c r="C303" s="12">
        <v>302</v>
      </c>
      <c r="D303" s="33" t="s">
        <v>2391</v>
      </c>
      <c r="E303" s="16" t="s">
        <v>2392</v>
      </c>
      <c r="F303" s="13" t="s">
        <v>58</v>
      </c>
      <c r="G303" s="13" t="s">
        <v>3179</v>
      </c>
      <c r="H303" s="13" t="s">
        <v>1132</v>
      </c>
      <c r="I303" s="50" t="s">
        <v>2393</v>
      </c>
      <c r="J303" s="13">
        <v>2022</v>
      </c>
      <c r="K303" s="13">
        <v>2024</v>
      </c>
      <c r="L303" s="16" t="s">
        <v>2394</v>
      </c>
      <c r="M303" s="16" t="s">
        <v>2395</v>
      </c>
      <c r="N303" s="13"/>
      <c r="O303" s="16" t="s">
        <v>604</v>
      </c>
      <c r="P303" s="13" t="s">
        <v>2396</v>
      </c>
      <c r="Q303" s="16" t="s">
        <v>859</v>
      </c>
      <c r="R303" s="16" t="s">
        <v>860</v>
      </c>
      <c r="S303" s="28" t="s">
        <v>2631</v>
      </c>
      <c r="T303" s="12">
        <v>0</v>
      </c>
      <c r="U303" s="12"/>
      <c r="V303" s="17"/>
      <c r="W303" s="38"/>
      <c r="X303" s="12"/>
      <c r="Y303" s="17"/>
      <c r="Z303" s="67"/>
      <c r="AA303" s="56"/>
    </row>
    <row r="304" spans="1:27" s="78" customFormat="1" ht="105">
      <c r="A304" s="13" t="s">
        <v>440</v>
      </c>
      <c r="B304" s="13" t="s">
        <v>441</v>
      </c>
      <c r="C304" s="12">
        <v>303</v>
      </c>
      <c r="D304" s="33" t="s">
        <v>1529</v>
      </c>
      <c r="E304" s="15" t="s">
        <v>1530</v>
      </c>
      <c r="F304" s="12" t="s">
        <v>964</v>
      </c>
      <c r="G304" s="13" t="s">
        <v>791</v>
      </c>
      <c r="H304" s="12" t="s">
        <v>1132</v>
      </c>
      <c r="I304" s="112" t="s">
        <v>2555</v>
      </c>
      <c r="J304" s="12">
        <v>2015</v>
      </c>
      <c r="K304" s="30">
        <v>2018</v>
      </c>
      <c r="L304" s="17" t="s">
        <v>446</v>
      </c>
      <c r="M304" s="15"/>
      <c r="N304" s="12"/>
      <c r="O304" s="16" t="s">
        <v>604</v>
      </c>
      <c r="P304" s="13" t="s">
        <v>538</v>
      </c>
      <c r="Q304" s="15" t="s">
        <v>858</v>
      </c>
      <c r="R304" s="15" t="s">
        <v>38</v>
      </c>
      <c r="S304" s="28" t="s">
        <v>2631</v>
      </c>
      <c r="T304" s="12">
        <v>0</v>
      </c>
      <c r="U304" s="12"/>
      <c r="V304" s="17"/>
      <c r="W304" s="38"/>
      <c r="X304" s="12"/>
      <c r="Y304" s="17"/>
      <c r="Z304" s="67"/>
      <c r="AA304" s="56" t="s">
        <v>2805</v>
      </c>
    </row>
    <row r="305" spans="1:27" s="78" customFormat="1" ht="262.5">
      <c r="A305" s="13" t="s">
        <v>440</v>
      </c>
      <c r="B305" s="17" t="s">
        <v>1282</v>
      </c>
      <c r="C305" s="12">
        <v>304</v>
      </c>
      <c r="D305" s="38" t="s">
        <v>963</v>
      </c>
      <c r="E305" s="15"/>
      <c r="F305" s="12" t="s">
        <v>964</v>
      </c>
      <c r="G305" s="12" t="s">
        <v>791</v>
      </c>
      <c r="H305" s="12" t="s">
        <v>164</v>
      </c>
      <c r="I305" s="112" t="s">
        <v>453</v>
      </c>
      <c r="J305" s="12">
        <v>2023</v>
      </c>
      <c r="K305" s="12">
        <v>2026</v>
      </c>
      <c r="L305" s="15" t="s">
        <v>965</v>
      </c>
      <c r="M305" s="15" t="s">
        <v>769</v>
      </c>
      <c r="N305" s="12"/>
      <c r="O305" s="15" t="s">
        <v>604</v>
      </c>
      <c r="P305" s="12" t="s">
        <v>538</v>
      </c>
      <c r="Q305" s="15" t="s">
        <v>858</v>
      </c>
      <c r="R305" s="15" t="s">
        <v>38</v>
      </c>
      <c r="S305" s="28" t="s">
        <v>2631</v>
      </c>
      <c r="T305" s="12">
        <v>0</v>
      </c>
      <c r="U305" s="12"/>
      <c r="V305" s="17"/>
      <c r="W305" s="38"/>
      <c r="X305" s="12"/>
      <c r="Y305" s="17"/>
      <c r="Z305" s="67"/>
      <c r="AA305" s="56" t="s">
        <v>2805</v>
      </c>
    </row>
    <row r="306" spans="1:27" s="78" customFormat="1" ht="52.5">
      <c r="A306" s="13" t="s">
        <v>440</v>
      </c>
      <c r="B306" s="17" t="s">
        <v>1896</v>
      </c>
      <c r="C306" s="12">
        <v>305</v>
      </c>
      <c r="D306" s="33" t="s">
        <v>2374</v>
      </c>
      <c r="E306" s="16" t="s">
        <v>2403</v>
      </c>
      <c r="F306" s="13" t="s">
        <v>58</v>
      </c>
      <c r="G306" s="13" t="s">
        <v>3180</v>
      </c>
      <c r="H306" s="13" t="s">
        <v>1132</v>
      </c>
      <c r="I306" s="50" t="s">
        <v>2375</v>
      </c>
      <c r="J306" s="13">
        <v>2021</v>
      </c>
      <c r="K306" s="13">
        <v>2023</v>
      </c>
      <c r="L306" s="16" t="s">
        <v>2376</v>
      </c>
      <c r="M306" s="16" t="s">
        <v>2405</v>
      </c>
      <c r="N306" s="352" t="s">
        <v>3206</v>
      </c>
      <c r="O306" s="16" t="s">
        <v>604</v>
      </c>
      <c r="P306" s="13" t="s">
        <v>57</v>
      </c>
      <c r="Q306" s="16" t="s">
        <v>910</v>
      </c>
      <c r="R306" s="16" t="s">
        <v>24</v>
      </c>
      <c r="S306" s="28" t="s">
        <v>2631</v>
      </c>
      <c r="T306" s="12">
        <v>0</v>
      </c>
      <c r="U306" s="12"/>
      <c r="V306" s="17"/>
      <c r="W306" s="38"/>
      <c r="X306" s="12"/>
      <c r="Y306" s="17"/>
      <c r="Z306" s="67"/>
      <c r="AA306" s="56" t="s">
        <v>2805</v>
      </c>
    </row>
    <row r="307" spans="1:27" s="27" customFormat="1" ht="70">
      <c r="A307" s="13" t="s">
        <v>440</v>
      </c>
      <c r="B307" s="28" t="s">
        <v>1896</v>
      </c>
      <c r="C307" s="12">
        <v>306</v>
      </c>
      <c r="D307" s="47" t="s">
        <v>2408</v>
      </c>
      <c r="E307" s="48" t="s">
        <v>2407</v>
      </c>
      <c r="F307" s="28" t="s">
        <v>58</v>
      </c>
      <c r="G307" s="28" t="s">
        <v>781</v>
      </c>
      <c r="H307" s="28" t="s">
        <v>164</v>
      </c>
      <c r="I307" s="113" t="s">
        <v>2377</v>
      </c>
      <c r="J307" s="28">
        <v>2023</v>
      </c>
      <c r="K307" s="28">
        <v>2025</v>
      </c>
      <c r="L307" s="48" t="s">
        <v>2378</v>
      </c>
      <c r="M307" s="48" t="s">
        <v>2409</v>
      </c>
      <c r="N307" s="28" t="s">
        <v>1134</v>
      </c>
      <c r="O307" s="48" t="s">
        <v>604</v>
      </c>
      <c r="P307" s="28" t="s">
        <v>57</v>
      </c>
      <c r="Q307" s="48" t="s">
        <v>910</v>
      </c>
      <c r="R307" s="48" t="s">
        <v>24</v>
      </c>
      <c r="S307" s="28" t="s">
        <v>2631</v>
      </c>
      <c r="T307" s="12">
        <v>0</v>
      </c>
      <c r="U307" s="12"/>
      <c r="V307" s="17"/>
      <c r="W307" s="38"/>
      <c r="X307" s="12"/>
      <c r="Y307" s="17"/>
      <c r="Z307" s="109"/>
      <c r="AA307" s="66"/>
    </row>
    <row r="308" spans="1:27" s="27" customFormat="1" ht="52.5">
      <c r="A308" s="13" t="s">
        <v>440</v>
      </c>
      <c r="B308" s="17" t="s">
        <v>1896</v>
      </c>
      <c r="C308" s="12">
        <v>307</v>
      </c>
      <c r="D308" s="33" t="s">
        <v>2090</v>
      </c>
      <c r="E308" s="16" t="s">
        <v>2091</v>
      </c>
      <c r="F308" s="13" t="s">
        <v>298</v>
      </c>
      <c r="G308" s="13" t="s">
        <v>299</v>
      </c>
      <c r="H308" s="13" t="s">
        <v>1132</v>
      </c>
      <c r="I308" s="14" t="s">
        <v>2092</v>
      </c>
      <c r="J308" s="13">
        <v>2017</v>
      </c>
      <c r="K308" s="13">
        <v>2023</v>
      </c>
      <c r="L308" s="16" t="s">
        <v>327</v>
      </c>
      <c r="M308" s="16"/>
      <c r="N308" s="13"/>
      <c r="O308" s="16" t="s">
        <v>59</v>
      </c>
      <c r="P308" s="13" t="s">
        <v>57</v>
      </c>
      <c r="Q308" s="16" t="s">
        <v>891</v>
      </c>
      <c r="R308" s="16" t="s">
        <v>892</v>
      </c>
      <c r="S308" s="28" t="s">
        <v>2629</v>
      </c>
      <c r="T308" s="12">
        <v>1</v>
      </c>
      <c r="U308" s="12" t="s">
        <v>2964</v>
      </c>
      <c r="V308" s="17" t="s">
        <v>3014</v>
      </c>
      <c r="W308" s="38" t="s">
        <v>2093</v>
      </c>
      <c r="X308" s="12" t="s">
        <v>1831</v>
      </c>
      <c r="Y308" s="17" t="s">
        <v>2094</v>
      </c>
      <c r="Z308" s="59"/>
      <c r="AA308" s="66"/>
    </row>
    <row r="309" spans="1:27" s="78" customFormat="1" ht="315">
      <c r="A309" s="13" t="s">
        <v>440</v>
      </c>
      <c r="B309" s="17" t="s">
        <v>1896</v>
      </c>
      <c r="C309" s="12">
        <v>308</v>
      </c>
      <c r="D309" s="102" t="s">
        <v>1059</v>
      </c>
      <c r="E309" s="48" t="s">
        <v>1060</v>
      </c>
      <c r="F309" s="28" t="s">
        <v>298</v>
      </c>
      <c r="G309" s="28" t="s">
        <v>1055</v>
      </c>
      <c r="H309" s="28" t="s">
        <v>1132</v>
      </c>
      <c r="I309" s="44" t="s">
        <v>2273</v>
      </c>
      <c r="J309" s="28">
        <v>2017</v>
      </c>
      <c r="K309" s="28">
        <v>2023</v>
      </c>
      <c r="L309" s="48" t="s">
        <v>2272</v>
      </c>
      <c r="M309" s="48"/>
      <c r="N309" s="28"/>
      <c r="O309" s="16" t="s">
        <v>59</v>
      </c>
      <c r="P309" s="28" t="s">
        <v>57</v>
      </c>
      <c r="Q309" s="48" t="s">
        <v>891</v>
      </c>
      <c r="R309" s="48" t="s">
        <v>892</v>
      </c>
      <c r="S309" s="28" t="s">
        <v>2629</v>
      </c>
      <c r="T309" s="12">
        <v>5</v>
      </c>
      <c r="U309" s="15" t="s">
        <v>2986</v>
      </c>
      <c r="V309" s="30" t="s">
        <v>3015</v>
      </c>
      <c r="W309" s="38" t="s">
        <v>2274</v>
      </c>
      <c r="X309" s="12" t="s">
        <v>2275</v>
      </c>
      <c r="Y309" s="30" t="s">
        <v>2276</v>
      </c>
      <c r="Z309" s="57"/>
      <c r="AA309" s="66"/>
    </row>
    <row r="310" spans="1:27" s="78" customFormat="1" ht="409.5">
      <c r="A310" s="13" t="s">
        <v>440</v>
      </c>
      <c r="B310" s="17" t="s">
        <v>1896</v>
      </c>
      <c r="C310" s="12">
        <v>309</v>
      </c>
      <c r="D310" s="102" t="s">
        <v>2277</v>
      </c>
      <c r="E310" s="48" t="s">
        <v>1270</v>
      </c>
      <c r="F310" s="28" t="s">
        <v>298</v>
      </c>
      <c r="G310" s="28" t="s">
        <v>1055</v>
      </c>
      <c r="H310" s="28" t="s">
        <v>1132</v>
      </c>
      <c r="I310" s="44" t="s">
        <v>2278</v>
      </c>
      <c r="J310" s="28">
        <v>2017</v>
      </c>
      <c r="K310" s="28">
        <v>2023</v>
      </c>
      <c r="L310" s="48" t="s">
        <v>2272</v>
      </c>
      <c r="M310" s="48"/>
      <c r="N310" s="28"/>
      <c r="O310" s="16" t="s">
        <v>59</v>
      </c>
      <c r="P310" s="28" t="s">
        <v>57</v>
      </c>
      <c r="Q310" s="48" t="s">
        <v>891</v>
      </c>
      <c r="R310" s="48" t="s">
        <v>892</v>
      </c>
      <c r="S310" s="28" t="s">
        <v>2629</v>
      </c>
      <c r="T310" s="12">
        <v>8</v>
      </c>
      <c r="U310" s="15" t="s">
        <v>2987</v>
      </c>
      <c r="V310" s="30" t="s">
        <v>3016</v>
      </c>
      <c r="W310" s="38" t="s">
        <v>2279</v>
      </c>
      <c r="X310" s="12" t="s">
        <v>2280</v>
      </c>
      <c r="Y310" s="30" t="s">
        <v>2281</v>
      </c>
      <c r="Z310" s="57"/>
      <c r="AA310" s="66"/>
    </row>
    <row r="311" spans="1:27" s="78" customFormat="1" ht="122.5">
      <c r="A311" s="13" t="s">
        <v>440</v>
      </c>
      <c r="B311" s="17" t="s">
        <v>1896</v>
      </c>
      <c r="C311" s="12">
        <v>310</v>
      </c>
      <c r="D311" s="114" t="s">
        <v>1897</v>
      </c>
      <c r="E311" s="115" t="s">
        <v>1898</v>
      </c>
      <c r="F311" s="12" t="s">
        <v>770</v>
      </c>
      <c r="G311" s="116" t="s">
        <v>962</v>
      </c>
      <c r="H311" s="12" t="s">
        <v>1132</v>
      </c>
      <c r="I311" s="117" t="s">
        <v>1899</v>
      </c>
      <c r="J311" s="12">
        <v>2018</v>
      </c>
      <c r="K311" s="12">
        <v>2023</v>
      </c>
      <c r="L311" s="64" t="s">
        <v>1900</v>
      </c>
      <c r="M311" s="111"/>
      <c r="N311" s="12"/>
      <c r="O311" s="16" t="s">
        <v>204</v>
      </c>
      <c r="P311" s="12" t="s">
        <v>57</v>
      </c>
      <c r="Q311" s="16" t="s">
        <v>910</v>
      </c>
      <c r="R311" s="15" t="s">
        <v>23</v>
      </c>
      <c r="S311" s="28" t="s">
        <v>2629</v>
      </c>
      <c r="T311" s="12">
        <v>2</v>
      </c>
      <c r="U311" s="15" t="s">
        <v>2978</v>
      </c>
      <c r="V311" s="30" t="s">
        <v>3017</v>
      </c>
      <c r="W311" s="38" t="s">
        <v>1901</v>
      </c>
      <c r="X311" s="12" t="s">
        <v>1902</v>
      </c>
      <c r="Y311" s="17" t="s">
        <v>1903</v>
      </c>
      <c r="Z311" s="83" t="s">
        <v>1136</v>
      </c>
      <c r="AA311" s="66"/>
    </row>
    <row r="312" spans="1:27" s="78" customFormat="1" ht="105">
      <c r="A312" s="13" t="s">
        <v>440</v>
      </c>
      <c r="B312" s="17" t="s">
        <v>447</v>
      </c>
      <c r="C312" s="12">
        <v>311</v>
      </c>
      <c r="D312" s="175" t="s">
        <v>2754</v>
      </c>
      <c r="E312" s="163" t="s">
        <v>2755</v>
      </c>
      <c r="F312" s="12" t="s">
        <v>770</v>
      </c>
      <c r="G312" s="12" t="s">
        <v>962</v>
      </c>
      <c r="H312" s="12" t="s">
        <v>164</v>
      </c>
      <c r="I312" s="219" t="s">
        <v>2756</v>
      </c>
      <c r="J312" s="157">
        <v>2024</v>
      </c>
      <c r="K312" s="157">
        <v>2026</v>
      </c>
      <c r="L312" s="15" t="s">
        <v>448</v>
      </c>
      <c r="M312" s="15"/>
      <c r="N312" s="12"/>
      <c r="O312" s="16" t="s">
        <v>204</v>
      </c>
      <c r="P312" s="12" t="s">
        <v>57</v>
      </c>
      <c r="Q312" s="15" t="s">
        <v>910</v>
      </c>
      <c r="R312" s="15" t="s">
        <v>23</v>
      </c>
      <c r="S312" s="28" t="s">
        <v>2631</v>
      </c>
      <c r="T312" s="12">
        <v>0</v>
      </c>
      <c r="U312" s="12"/>
      <c r="V312" s="17"/>
      <c r="W312" s="38"/>
      <c r="X312" s="12"/>
      <c r="Y312" s="17"/>
      <c r="Z312" s="67" t="s">
        <v>1136</v>
      </c>
      <c r="AA312" s="66"/>
    </row>
    <row r="313" spans="1:27" s="27" customFormat="1" ht="140">
      <c r="A313" s="13" t="s">
        <v>440</v>
      </c>
      <c r="B313" s="17" t="s">
        <v>1896</v>
      </c>
      <c r="C313" s="12">
        <v>312</v>
      </c>
      <c r="D313" s="33" t="s">
        <v>2369</v>
      </c>
      <c r="E313" s="16" t="s">
        <v>2402</v>
      </c>
      <c r="F313" s="13" t="s">
        <v>58</v>
      </c>
      <c r="G313" s="13" t="s">
        <v>3180</v>
      </c>
      <c r="H313" s="13" t="s">
        <v>1132</v>
      </c>
      <c r="I313" s="50" t="s">
        <v>2370</v>
      </c>
      <c r="J313" s="13">
        <v>2019</v>
      </c>
      <c r="K313" s="13">
        <v>2023</v>
      </c>
      <c r="L313" s="16" t="s">
        <v>2371</v>
      </c>
      <c r="M313" s="16" t="s">
        <v>2404</v>
      </c>
      <c r="N313" s="352" t="s">
        <v>3206</v>
      </c>
      <c r="O313" s="16" t="s">
        <v>604</v>
      </c>
      <c r="P313" s="13" t="s">
        <v>57</v>
      </c>
      <c r="Q313" s="16" t="s">
        <v>910</v>
      </c>
      <c r="R313" s="16" t="s">
        <v>24</v>
      </c>
      <c r="S313" s="28" t="s">
        <v>2629</v>
      </c>
      <c r="T313" s="12">
        <v>2</v>
      </c>
      <c r="U313" s="15" t="s">
        <v>2956</v>
      </c>
      <c r="V313" s="30" t="s">
        <v>3018</v>
      </c>
      <c r="W313" s="38" t="s">
        <v>2372</v>
      </c>
      <c r="X313" s="12" t="s">
        <v>2040</v>
      </c>
      <c r="Y313" s="17" t="s">
        <v>2373</v>
      </c>
      <c r="Z313" s="67"/>
      <c r="AA313" s="66"/>
    </row>
    <row r="314" spans="1:27" s="78" customFormat="1" ht="175">
      <c r="A314" s="28" t="s">
        <v>736</v>
      </c>
      <c r="B314" s="28" t="s">
        <v>737</v>
      </c>
      <c r="C314" s="12">
        <v>313</v>
      </c>
      <c r="D314" s="47" t="s">
        <v>1837</v>
      </c>
      <c r="E314" s="48" t="s">
        <v>1838</v>
      </c>
      <c r="F314" s="28" t="s">
        <v>770</v>
      </c>
      <c r="G314" s="28" t="s">
        <v>1839</v>
      </c>
      <c r="H314" s="28" t="s">
        <v>1132</v>
      </c>
      <c r="I314" s="44" t="s">
        <v>1840</v>
      </c>
      <c r="J314" s="28">
        <v>2019</v>
      </c>
      <c r="K314" s="28">
        <v>2024</v>
      </c>
      <c r="L314" s="48" t="s">
        <v>1841</v>
      </c>
      <c r="M314" s="48" t="s">
        <v>1842</v>
      </c>
      <c r="N314" s="48"/>
      <c r="O314" s="48" t="s">
        <v>604</v>
      </c>
      <c r="P314" s="28" t="s">
        <v>57</v>
      </c>
      <c r="Q314" s="48" t="s">
        <v>925</v>
      </c>
      <c r="R314" s="48" t="s">
        <v>26</v>
      </c>
      <c r="S314" s="28" t="s">
        <v>2631</v>
      </c>
      <c r="T314" s="12">
        <v>0</v>
      </c>
      <c r="U314" s="12"/>
      <c r="V314" s="17"/>
      <c r="W314" s="38"/>
      <c r="X314" s="12"/>
      <c r="Y314" s="17"/>
      <c r="Z314" s="57"/>
      <c r="AA314" s="66"/>
    </row>
    <row r="315" spans="1:27" s="78" customFormat="1" ht="87.5">
      <c r="A315" s="28" t="s">
        <v>736</v>
      </c>
      <c r="B315" s="28" t="s">
        <v>737</v>
      </c>
      <c r="C315" s="12">
        <v>314</v>
      </c>
      <c r="D315" s="47" t="s">
        <v>1827</v>
      </c>
      <c r="E315" s="48" t="s">
        <v>1663</v>
      </c>
      <c r="F315" s="28" t="s">
        <v>58</v>
      </c>
      <c r="G315" s="28" t="s">
        <v>781</v>
      </c>
      <c r="H315" s="28" t="s">
        <v>1132</v>
      </c>
      <c r="I315" s="44" t="s">
        <v>1828</v>
      </c>
      <c r="J315" s="28">
        <v>2023</v>
      </c>
      <c r="K315" s="28">
        <v>2024</v>
      </c>
      <c r="L315" s="48" t="s">
        <v>1829</v>
      </c>
      <c r="M315" s="48" t="s">
        <v>2255</v>
      </c>
      <c r="N315" s="48" t="s">
        <v>1134</v>
      </c>
      <c r="O315" s="48" t="s">
        <v>604</v>
      </c>
      <c r="P315" s="28" t="s">
        <v>309</v>
      </c>
      <c r="Q315" s="48" t="s">
        <v>925</v>
      </c>
      <c r="R315" s="48" t="s">
        <v>26</v>
      </c>
      <c r="S315" s="28" t="s">
        <v>2629</v>
      </c>
      <c r="T315" s="12">
        <v>1</v>
      </c>
      <c r="U315" s="12" t="s">
        <v>2964</v>
      </c>
      <c r="V315" s="17" t="s">
        <v>3019</v>
      </c>
      <c r="W315" s="38" t="s">
        <v>1830</v>
      </c>
      <c r="X315" s="12" t="s">
        <v>1831</v>
      </c>
      <c r="Y315" s="17" t="s">
        <v>1832</v>
      </c>
      <c r="Z315" s="57"/>
      <c r="AA315" s="66"/>
    </row>
    <row r="316" spans="1:27" s="78" customFormat="1" ht="105">
      <c r="A316" s="28" t="s">
        <v>736</v>
      </c>
      <c r="B316" s="28" t="s">
        <v>737</v>
      </c>
      <c r="C316" s="12">
        <v>315</v>
      </c>
      <c r="D316" s="47" t="s">
        <v>2295</v>
      </c>
      <c r="E316" s="48" t="s">
        <v>2296</v>
      </c>
      <c r="F316" s="28" t="s">
        <v>58</v>
      </c>
      <c r="G316" s="28" t="s">
        <v>3162</v>
      </c>
      <c r="H316" s="28" t="s">
        <v>1132</v>
      </c>
      <c r="I316" s="44" t="s">
        <v>2297</v>
      </c>
      <c r="J316" s="28">
        <v>2005</v>
      </c>
      <c r="K316" s="28">
        <v>2007</v>
      </c>
      <c r="L316" s="48" t="s">
        <v>1845</v>
      </c>
      <c r="M316" s="48" t="s">
        <v>1855</v>
      </c>
      <c r="N316" s="48"/>
      <c r="O316" s="48" t="s">
        <v>604</v>
      </c>
      <c r="P316" s="28" t="s">
        <v>57</v>
      </c>
      <c r="Q316" s="48" t="s">
        <v>925</v>
      </c>
      <c r="R316" s="48" t="s">
        <v>926</v>
      </c>
      <c r="S316" s="28" t="s">
        <v>2631</v>
      </c>
      <c r="T316" s="12">
        <v>0</v>
      </c>
      <c r="U316" s="12"/>
      <c r="V316" s="17"/>
      <c r="W316" s="38"/>
      <c r="X316" s="12"/>
      <c r="Y316" s="17"/>
      <c r="Z316" s="57"/>
      <c r="AA316" s="66"/>
    </row>
    <row r="317" spans="1:27" s="27" customFormat="1" ht="105">
      <c r="A317" s="28" t="s">
        <v>736</v>
      </c>
      <c r="B317" s="28" t="s">
        <v>737</v>
      </c>
      <c r="C317" s="12">
        <v>316</v>
      </c>
      <c r="D317" s="47" t="s">
        <v>2298</v>
      </c>
      <c r="E317" s="48" t="s">
        <v>2299</v>
      </c>
      <c r="F317" s="28" t="s">
        <v>58</v>
      </c>
      <c r="G317" s="28" t="s">
        <v>3162</v>
      </c>
      <c r="H317" s="28" t="s">
        <v>1132</v>
      </c>
      <c r="I317" s="44" t="s">
        <v>2300</v>
      </c>
      <c r="J317" s="28">
        <v>2017</v>
      </c>
      <c r="K317" s="28">
        <v>2019</v>
      </c>
      <c r="L317" s="48" t="s">
        <v>1845</v>
      </c>
      <c r="M317" s="48" t="s">
        <v>1855</v>
      </c>
      <c r="N317" s="48" t="s">
        <v>2301</v>
      </c>
      <c r="O317" s="48" t="s">
        <v>604</v>
      </c>
      <c r="P317" s="28" t="s">
        <v>57</v>
      </c>
      <c r="Q317" s="48" t="s">
        <v>925</v>
      </c>
      <c r="R317" s="48" t="s">
        <v>926</v>
      </c>
      <c r="S317" s="28" t="s">
        <v>2631</v>
      </c>
      <c r="T317" s="12">
        <v>0</v>
      </c>
      <c r="U317" s="12"/>
      <c r="V317" s="17"/>
      <c r="W317" s="38"/>
      <c r="X317" s="12"/>
      <c r="Y317" s="17"/>
      <c r="Z317" s="57"/>
      <c r="AA317" s="66"/>
    </row>
    <row r="318" spans="1:27" s="78" customFormat="1" ht="105">
      <c r="A318" s="28" t="s">
        <v>736</v>
      </c>
      <c r="B318" s="28" t="s">
        <v>737</v>
      </c>
      <c r="C318" s="12">
        <v>317</v>
      </c>
      <c r="D318" s="47" t="s">
        <v>2302</v>
      </c>
      <c r="E318" s="48" t="s">
        <v>2303</v>
      </c>
      <c r="F318" s="28" t="s">
        <v>58</v>
      </c>
      <c r="G318" s="28" t="s">
        <v>3162</v>
      </c>
      <c r="H318" s="28" t="s">
        <v>1132</v>
      </c>
      <c r="I318" s="44" t="s">
        <v>2304</v>
      </c>
      <c r="J318" s="28">
        <v>2018</v>
      </c>
      <c r="K318" s="28">
        <v>2020</v>
      </c>
      <c r="L318" s="48" t="s">
        <v>1845</v>
      </c>
      <c r="M318" s="48" t="s">
        <v>1855</v>
      </c>
      <c r="N318" s="48" t="s">
        <v>2301</v>
      </c>
      <c r="O318" s="48" t="s">
        <v>604</v>
      </c>
      <c r="P318" s="28" t="s">
        <v>57</v>
      </c>
      <c r="Q318" s="48" t="s">
        <v>925</v>
      </c>
      <c r="R318" s="48" t="s">
        <v>926</v>
      </c>
      <c r="S318" s="28" t="s">
        <v>2631</v>
      </c>
      <c r="T318" s="12">
        <v>0</v>
      </c>
      <c r="U318" s="12"/>
      <c r="V318" s="17"/>
      <c r="W318" s="38"/>
      <c r="X318" s="12"/>
      <c r="Y318" s="17"/>
      <c r="Z318" s="57"/>
      <c r="AA318" s="66"/>
    </row>
    <row r="319" spans="1:27" s="78" customFormat="1" ht="70">
      <c r="A319" s="28" t="s">
        <v>736</v>
      </c>
      <c r="B319" s="28" t="s">
        <v>737</v>
      </c>
      <c r="C319" s="12">
        <v>318</v>
      </c>
      <c r="D319" s="47" t="s">
        <v>1843</v>
      </c>
      <c r="E319" s="48" t="s">
        <v>1844</v>
      </c>
      <c r="F319" s="28" t="s">
        <v>58</v>
      </c>
      <c r="G319" s="28" t="s">
        <v>3162</v>
      </c>
      <c r="H319" s="28" t="s">
        <v>1132</v>
      </c>
      <c r="I319" s="44" t="s">
        <v>2305</v>
      </c>
      <c r="J319" s="28">
        <v>2019</v>
      </c>
      <c r="K319" s="28">
        <v>2020</v>
      </c>
      <c r="L319" s="48" t="s">
        <v>1845</v>
      </c>
      <c r="M319" s="48" t="s">
        <v>1855</v>
      </c>
      <c r="N319" s="48" t="s">
        <v>2301</v>
      </c>
      <c r="O319" s="48" t="s">
        <v>604</v>
      </c>
      <c r="P319" s="28" t="s">
        <v>57</v>
      </c>
      <c r="Q319" s="48" t="s">
        <v>925</v>
      </c>
      <c r="R319" s="48" t="s">
        <v>26</v>
      </c>
      <c r="S319" s="28" t="s">
        <v>2631</v>
      </c>
      <c r="T319" s="12">
        <v>0</v>
      </c>
      <c r="U319" s="12"/>
      <c r="V319" s="17"/>
      <c r="W319" s="38"/>
      <c r="X319" s="12"/>
      <c r="Y319" s="17"/>
      <c r="Z319" s="57"/>
      <c r="AA319" s="66"/>
    </row>
    <row r="320" spans="1:27" s="78" customFormat="1" ht="52.5">
      <c r="A320" s="28" t="s">
        <v>736</v>
      </c>
      <c r="B320" s="28" t="s">
        <v>737</v>
      </c>
      <c r="C320" s="12">
        <v>319</v>
      </c>
      <c r="D320" s="47" t="s">
        <v>1847</v>
      </c>
      <c r="E320" s="48" t="s">
        <v>1848</v>
      </c>
      <c r="F320" s="28" t="s">
        <v>58</v>
      </c>
      <c r="G320" s="28" t="s">
        <v>3162</v>
      </c>
      <c r="H320" s="28" t="s">
        <v>1132</v>
      </c>
      <c r="I320" s="44" t="s">
        <v>1849</v>
      </c>
      <c r="J320" s="28">
        <v>2022</v>
      </c>
      <c r="K320" s="28">
        <v>2023</v>
      </c>
      <c r="L320" s="48" t="s">
        <v>1845</v>
      </c>
      <c r="M320" s="48" t="s">
        <v>1855</v>
      </c>
      <c r="N320" s="48" t="s">
        <v>1846</v>
      </c>
      <c r="O320" s="48" t="s">
        <v>604</v>
      </c>
      <c r="P320" s="28" t="s">
        <v>57</v>
      </c>
      <c r="Q320" s="48" t="s">
        <v>925</v>
      </c>
      <c r="R320" s="48" t="s">
        <v>26</v>
      </c>
      <c r="S320" s="28" t="s">
        <v>2631</v>
      </c>
      <c r="T320" s="12">
        <v>0</v>
      </c>
      <c r="U320" s="12"/>
      <c r="V320" s="17"/>
      <c r="W320" s="38"/>
      <c r="X320" s="12"/>
      <c r="Y320" s="17"/>
      <c r="Z320" s="57"/>
      <c r="AA320" s="66"/>
    </row>
    <row r="321" spans="1:27" s="78" customFormat="1" ht="52.5">
      <c r="A321" s="28" t="s">
        <v>736</v>
      </c>
      <c r="B321" s="28" t="s">
        <v>737</v>
      </c>
      <c r="C321" s="12">
        <v>320</v>
      </c>
      <c r="D321" s="47" t="s">
        <v>1850</v>
      </c>
      <c r="E321" s="48" t="s">
        <v>1851</v>
      </c>
      <c r="F321" s="28" t="s">
        <v>58</v>
      </c>
      <c r="G321" s="28" t="s">
        <v>3162</v>
      </c>
      <c r="H321" s="28" t="s">
        <v>1132</v>
      </c>
      <c r="I321" s="44" t="s">
        <v>1852</v>
      </c>
      <c r="J321" s="28">
        <v>2022</v>
      </c>
      <c r="K321" s="28">
        <v>2023</v>
      </c>
      <c r="L321" s="48" t="s">
        <v>1845</v>
      </c>
      <c r="M321" s="48" t="s">
        <v>1855</v>
      </c>
      <c r="N321" s="48" t="s">
        <v>1846</v>
      </c>
      <c r="O321" s="48" t="s">
        <v>604</v>
      </c>
      <c r="P321" s="28" t="s">
        <v>57</v>
      </c>
      <c r="Q321" s="48" t="s">
        <v>925</v>
      </c>
      <c r="R321" s="48" t="s">
        <v>26</v>
      </c>
      <c r="S321" s="28" t="s">
        <v>2631</v>
      </c>
      <c r="T321" s="12">
        <v>0</v>
      </c>
      <c r="U321" s="12"/>
      <c r="V321" s="17"/>
      <c r="W321" s="38"/>
      <c r="X321" s="12"/>
      <c r="Y321" s="17"/>
      <c r="Z321" s="57"/>
      <c r="AA321" s="66"/>
    </row>
    <row r="322" spans="1:27" s="58" customFormat="1" ht="52.5">
      <c r="A322" s="28" t="s">
        <v>736</v>
      </c>
      <c r="B322" s="28" t="s">
        <v>737</v>
      </c>
      <c r="C322" s="12">
        <v>321</v>
      </c>
      <c r="D322" s="47" t="s">
        <v>1856</v>
      </c>
      <c r="E322" s="48" t="s">
        <v>2289</v>
      </c>
      <c r="F322" s="28" t="s">
        <v>58</v>
      </c>
      <c r="G322" s="28" t="s">
        <v>3162</v>
      </c>
      <c r="H322" s="28" t="s">
        <v>164</v>
      </c>
      <c r="I322" s="44" t="s">
        <v>1857</v>
      </c>
      <c r="J322" s="28">
        <v>2023</v>
      </c>
      <c r="K322" s="28">
        <v>2025</v>
      </c>
      <c r="L322" s="48" t="s">
        <v>1845</v>
      </c>
      <c r="M322" s="48" t="s">
        <v>1855</v>
      </c>
      <c r="N322" s="48" t="s">
        <v>1846</v>
      </c>
      <c r="O322" s="48" t="s">
        <v>604</v>
      </c>
      <c r="P322" s="28" t="s">
        <v>57</v>
      </c>
      <c r="Q322" s="48" t="s">
        <v>925</v>
      </c>
      <c r="R322" s="48" t="s">
        <v>26</v>
      </c>
      <c r="S322" s="28" t="s">
        <v>2631</v>
      </c>
      <c r="T322" s="12">
        <v>0</v>
      </c>
      <c r="U322" s="12"/>
      <c r="V322" s="17"/>
      <c r="W322" s="38"/>
      <c r="X322" s="12"/>
      <c r="Y322" s="17"/>
      <c r="Z322" s="57"/>
      <c r="AA322" s="66"/>
    </row>
    <row r="323" spans="1:27" s="58" customFormat="1" ht="52.5">
      <c r="A323" s="28" t="s">
        <v>736</v>
      </c>
      <c r="B323" s="28" t="s">
        <v>737</v>
      </c>
      <c r="C323" s="12">
        <v>322</v>
      </c>
      <c r="D323" s="47" t="s">
        <v>1853</v>
      </c>
      <c r="E323" s="48" t="s">
        <v>2290</v>
      </c>
      <c r="F323" s="28" t="s">
        <v>58</v>
      </c>
      <c r="G323" s="28" t="s">
        <v>3162</v>
      </c>
      <c r="H323" s="28" t="s">
        <v>164</v>
      </c>
      <c r="I323" s="44" t="s">
        <v>1854</v>
      </c>
      <c r="J323" s="28">
        <v>2024</v>
      </c>
      <c r="K323" s="28">
        <v>2026</v>
      </c>
      <c r="L323" s="48" t="s">
        <v>1845</v>
      </c>
      <c r="M323" s="48" t="s">
        <v>1855</v>
      </c>
      <c r="N323" s="48" t="s">
        <v>1846</v>
      </c>
      <c r="O323" s="48" t="s">
        <v>604</v>
      </c>
      <c r="P323" s="28" t="s">
        <v>57</v>
      </c>
      <c r="Q323" s="48" t="s">
        <v>925</v>
      </c>
      <c r="R323" s="48" t="s">
        <v>26</v>
      </c>
      <c r="S323" s="28" t="s">
        <v>2631</v>
      </c>
      <c r="T323" s="12">
        <v>0</v>
      </c>
      <c r="U323" s="12"/>
      <c r="V323" s="17"/>
      <c r="W323" s="38"/>
      <c r="X323" s="12"/>
      <c r="Y323" s="17"/>
      <c r="Z323" s="57"/>
      <c r="AA323" s="66"/>
    </row>
    <row r="324" spans="1:27" s="58" customFormat="1" ht="52.5">
      <c r="A324" s="28" t="s">
        <v>736</v>
      </c>
      <c r="B324" s="28" t="s">
        <v>737</v>
      </c>
      <c r="C324" s="12">
        <v>323</v>
      </c>
      <c r="D324" s="47" t="s">
        <v>2353</v>
      </c>
      <c r="E324" s="48" t="s">
        <v>2517</v>
      </c>
      <c r="F324" s="28" t="s">
        <v>58</v>
      </c>
      <c r="G324" s="28" t="s">
        <v>3164</v>
      </c>
      <c r="H324" s="28" t="s">
        <v>1132</v>
      </c>
      <c r="I324" s="48" t="s">
        <v>2354</v>
      </c>
      <c r="J324" s="28">
        <v>2008</v>
      </c>
      <c r="K324" s="28">
        <v>2008</v>
      </c>
      <c r="L324" s="48" t="s">
        <v>1813</v>
      </c>
      <c r="M324" s="48" t="s">
        <v>1814</v>
      </c>
      <c r="N324" s="48" t="s">
        <v>750</v>
      </c>
      <c r="O324" s="48" t="s">
        <v>604</v>
      </c>
      <c r="P324" s="28" t="s">
        <v>57</v>
      </c>
      <c r="Q324" s="48" t="s">
        <v>925</v>
      </c>
      <c r="R324" s="48" t="s">
        <v>27</v>
      </c>
      <c r="S324" s="28" t="s">
        <v>2631</v>
      </c>
      <c r="T324" s="12">
        <v>0</v>
      </c>
      <c r="U324" s="12"/>
      <c r="V324" s="17"/>
      <c r="W324" s="38"/>
      <c r="X324" s="12"/>
      <c r="Y324" s="17"/>
      <c r="Z324" s="57"/>
      <c r="AA324" s="66"/>
    </row>
    <row r="325" spans="1:27" s="58" customFormat="1" ht="87.5">
      <c r="A325" s="28" t="s">
        <v>736</v>
      </c>
      <c r="B325" s="28" t="s">
        <v>737</v>
      </c>
      <c r="C325" s="12">
        <v>324</v>
      </c>
      <c r="D325" s="47" t="s">
        <v>2346</v>
      </c>
      <c r="E325" s="48" t="s">
        <v>2515</v>
      </c>
      <c r="F325" s="28" t="s">
        <v>58</v>
      </c>
      <c r="G325" s="28" t="s">
        <v>3164</v>
      </c>
      <c r="H325" s="28" t="s">
        <v>1132</v>
      </c>
      <c r="I325" s="48" t="s">
        <v>2347</v>
      </c>
      <c r="J325" s="28">
        <v>2008</v>
      </c>
      <c r="K325" s="28">
        <v>2011</v>
      </c>
      <c r="L325" s="48" t="s">
        <v>1813</v>
      </c>
      <c r="M325" s="48" t="s">
        <v>1814</v>
      </c>
      <c r="N325" s="48" t="s">
        <v>3076</v>
      </c>
      <c r="O325" s="48" t="s">
        <v>604</v>
      </c>
      <c r="P325" s="28" t="s">
        <v>57</v>
      </c>
      <c r="Q325" s="48" t="s">
        <v>925</v>
      </c>
      <c r="R325" s="48" t="s">
        <v>27</v>
      </c>
      <c r="S325" s="28" t="s">
        <v>2629</v>
      </c>
      <c r="T325" s="12">
        <v>1</v>
      </c>
      <c r="U325" s="12" t="s">
        <v>1781</v>
      </c>
      <c r="V325" s="17" t="s">
        <v>2348</v>
      </c>
      <c r="W325" s="38" t="s">
        <v>2349</v>
      </c>
      <c r="X325" s="12" t="s">
        <v>2970</v>
      </c>
      <c r="Y325" s="17" t="s">
        <v>2350</v>
      </c>
      <c r="Z325" s="57"/>
      <c r="AA325" s="66"/>
    </row>
    <row r="326" spans="1:27" s="58" customFormat="1" ht="70">
      <c r="A326" s="28" t="s">
        <v>736</v>
      </c>
      <c r="B326" s="28" t="s">
        <v>737</v>
      </c>
      <c r="C326" s="12">
        <v>325</v>
      </c>
      <c r="D326" s="47" t="s">
        <v>2351</v>
      </c>
      <c r="E326" s="48" t="s">
        <v>2516</v>
      </c>
      <c r="F326" s="28" t="s">
        <v>58</v>
      </c>
      <c r="G326" s="28" t="s">
        <v>3164</v>
      </c>
      <c r="H326" s="28" t="s">
        <v>1132</v>
      </c>
      <c r="I326" s="48" t="s">
        <v>2352</v>
      </c>
      <c r="J326" s="28">
        <v>2008</v>
      </c>
      <c r="K326" s="28">
        <v>2012</v>
      </c>
      <c r="L326" s="48" t="s">
        <v>1813</v>
      </c>
      <c r="M326" s="48" t="s">
        <v>1814</v>
      </c>
      <c r="N326" s="48" t="s">
        <v>750</v>
      </c>
      <c r="O326" s="48" t="s">
        <v>604</v>
      </c>
      <c r="P326" s="28" t="s">
        <v>57</v>
      </c>
      <c r="Q326" s="48" t="s">
        <v>925</v>
      </c>
      <c r="R326" s="48" t="s">
        <v>27</v>
      </c>
      <c r="S326" s="28" t="s">
        <v>2631</v>
      </c>
      <c r="T326" s="12">
        <v>0</v>
      </c>
      <c r="U326" s="12"/>
      <c r="V326" s="17"/>
      <c r="W326" s="38"/>
      <c r="X326" s="12"/>
      <c r="Y326" s="17"/>
      <c r="Z326" s="57"/>
      <c r="AA326" s="66"/>
    </row>
    <row r="327" spans="1:27" s="58" customFormat="1" ht="122.5">
      <c r="A327" s="28" t="s">
        <v>736</v>
      </c>
      <c r="B327" s="28" t="s">
        <v>737</v>
      </c>
      <c r="C327" s="12">
        <v>326</v>
      </c>
      <c r="D327" s="47" t="s">
        <v>2336</v>
      </c>
      <c r="E327" s="48" t="s">
        <v>2527</v>
      </c>
      <c r="F327" s="28" t="s">
        <v>58</v>
      </c>
      <c r="G327" s="28" t="s">
        <v>3164</v>
      </c>
      <c r="H327" s="28" t="s">
        <v>1132</v>
      </c>
      <c r="I327" s="48" t="s">
        <v>2337</v>
      </c>
      <c r="J327" s="28">
        <v>2008</v>
      </c>
      <c r="K327" s="28">
        <v>2015</v>
      </c>
      <c r="L327" s="48" t="s">
        <v>1813</v>
      </c>
      <c r="M327" s="48" t="s">
        <v>1814</v>
      </c>
      <c r="N327" s="48" t="s">
        <v>750</v>
      </c>
      <c r="O327" s="48" t="s">
        <v>604</v>
      </c>
      <c r="P327" s="28" t="s">
        <v>57</v>
      </c>
      <c r="Q327" s="48" t="s">
        <v>925</v>
      </c>
      <c r="R327" s="48" t="s">
        <v>27</v>
      </c>
      <c r="S327" s="28" t="s">
        <v>2631</v>
      </c>
      <c r="T327" s="12">
        <v>0</v>
      </c>
      <c r="U327" s="12"/>
      <c r="V327" s="17"/>
      <c r="W327" s="38"/>
      <c r="X327" s="12"/>
      <c r="Y327" s="17"/>
      <c r="Z327" s="57"/>
      <c r="AA327" s="66"/>
    </row>
    <row r="328" spans="1:27" s="58" customFormat="1" ht="157.5">
      <c r="A328" s="28" t="s">
        <v>736</v>
      </c>
      <c r="B328" s="28" t="s">
        <v>737</v>
      </c>
      <c r="C328" s="12">
        <v>327</v>
      </c>
      <c r="D328" s="47" t="s">
        <v>2334</v>
      </c>
      <c r="E328" s="48" t="s">
        <v>2288</v>
      </c>
      <c r="F328" s="28" t="s">
        <v>58</v>
      </c>
      <c r="G328" s="28" t="s">
        <v>3164</v>
      </c>
      <c r="H328" s="28" t="s">
        <v>1132</v>
      </c>
      <c r="I328" s="48" t="s">
        <v>2335</v>
      </c>
      <c r="J328" s="28">
        <v>2011</v>
      </c>
      <c r="K328" s="28">
        <v>2013</v>
      </c>
      <c r="L328" s="48" t="s">
        <v>1813</v>
      </c>
      <c r="M328" s="48" t="s">
        <v>1814</v>
      </c>
      <c r="N328" s="48" t="s">
        <v>750</v>
      </c>
      <c r="O328" s="48" t="s">
        <v>604</v>
      </c>
      <c r="P328" s="28" t="s">
        <v>57</v>
      </c>
      <c r="Q328" s="48" t="s">
        <v>925</v>
      </c>
      <c r="R328" s="48" t="s">
        <v>27</v>
      </c>
      <c r="S328" s="28" t="s">
        <v>2631</v>
      </c>
      <c r="T328" s="12">
        <v>0</v>
      </c>
      <c r="U328" s="12"/>
      <c r="V328" s="17"/>
      <c r="W328" s="38"/>
      <c r="X328" s="12"/>
      <c r="Y328" s="17"/>
      <c r="Z328" s="57"/>
      <c r="AA328" s="66"/>
    </row>
    <row r="329" spans="1:27" s="58" customFormat="1" ht="87.5">
      <c r="A329" s="28" t="s">
        <v>736</v>
      </c>
      <c r="B329" s="28" t="s">
        <v>737</v>
      </c>
      <c r="C329" s="12">
        <v>328</v>
      </c>
      <c r="D329" s="47" t="s">
        <v>2338</v>
      </c>
      <c r="E329" s="48" t="s">
        <v>2528</v>
      </c>
      <c r="F329" s="28" t="s">
        <v>58</v>
      </c>
      <c r="G329" s="28" t="s">
        <v>3164</v>
      </c>
      <c r="H329" s="28" t="s">
        <v>1132</v>
      </c>
      <c r="I329" s="48" t="s">
        <v>2339</v>
      </c>
      <c r="J329" s="28">
        <v>2012</v>
      </c>
      <c r="K329" s="28">
        <v>2014</v>
      </c>
      <c r="L329" s="48" t="s">
        <v>1813</v>
      </c>
      <c r="M329" s="48" t="s">
        <v>1814</v>
      </c>
      <c r="N329" s="48" t="s">
        <v>750</v>
      </c>
      <c r="O329" s="48" t="s">
        <v>604</v>
      </c>
      <c r="P329" s="28" t="s">
        <v>57</v>
      </c>
      <c r="Q329" s="48" t="s">
        <v>925</v>
      </c>
      <c r="R329" s="48" t="s">
        <v>27</v>
      </c>
      <c r="S329" s="28" t="s">
        <v>2631</v>
      </c>
      <c r="T329" s="12">
        <v>0</v>
      </c>
      <c r="U329" s="12"/>
      <c r="V329" s="17"/>
      <c r="W329" s="38"/>
      <c r="X329" s="12"/>
      <c r="Y329" s="17"/>
      <c r="Z329" s="57"/>
      <c r="AA329" s="66"/>
    </row>
    <row r="330" spans="1:27" s="58" customFormat="1" ht="280">
      <c r="A330" s="28" t="s">
        <v>736</v>
      </c>
      <c r="B330" s="13" t="s">
        <v>737</v>
      </c>
      <c r="C330" s="12">
        <v>329</v>
      </c>
      <c r="D330" s="38" t="s">
        <v>1812</v>
      </c>
      <c r="E330" s="15" t="s">
        <v>1126</v>
      </c>
      <c r="F330" s="12" t="s">
        <v>58</v>
      </c>
      <c r="G330" s="28" t="s">
        <v>3164</v>
      </c>
      <c r="H330" s="12" t="s">
        <v>164</v>
      </c>
      <c r="I330" s="87" t="s">
        <v>749</v>
      </c>
      <c r="J330" s="12">
        <v>2014</v>
      </c>
      <c r="K330" s="12">
        <v>2024</v>
      </c>
      <c r="L330" s="15" t="s">
        <v>1813</v>
      </c>
      <c r="M330" s="15" t="s">
        <v>1814</v>
      </c>
      <c r="N330" s="15" t="s">
        <v>2253</v>
      </c>
      <c r="O330" s="15" t="s">
        <v>604</v>
      </c>
      <c r="P330" s="12" t="s">
        <v>57</v>
      </c>
      <c r="Q330" s="15" t="s">
        <v>925</v>
      </c>
      <c r="R330" s="15" t="s">
        <v>26</v>
      </c>
      <c r="S330" s="28" t="s">
        <v>2631</v>
      </c>
      <c r="T330" s="12">
        <v>0</v>
      </c>
      <c r="U330" s="12"/>
      <c r="V330" s="17"/>
      <c r="W330" s="38"/>
      <c r="X330" s="12"/>
      <c r="Y330" s="17"/>
      <c r="Z330" s="67"/>
      <c r="AA330" s="66"/>
    </row>
    <row r="331" spans="1:27" s="58" customFormat="1" ht="105">
      <c r="A331" s="28" t="s">
        <v>736</v>
      </c>
      <c r="B331" s="28" t="s">
        <v>737</v>
      </c>
      <c r="C331" s="12">
        <v>330</v>
      </c>
      <c r="D331" s="47" t="s">
        <v>2340</v>
      </c>
      <c r="E331" s="48" t="s">
        <v>2513</v>
      </c>
      <c r="F331" s="28" t="s">
        <v>58</v>
      </c>
      <c r="G331" s="28" t="s">
        <v>3164</v>
      </c>
      <c r="H331" s="28" t="s">
        <v>1132</v>
      </c>
      <c r="I331" s="48" t="s">
        <v>2341</v>
      </c>
      <c r="J331" s="28">
        <v>2014</v>
      </c>
      <c r="K331" s="28">
        <v>2014</v>
      </c>
      <c r="L331" s="48" t="s">
        <v>1813</v>
      </c>
      <c r="M331" s="48" t="s">
        <v>1814</v>
      </c>
      <c r="N331" s="48" t="s">
        <v>750</v>
      </c>
      <c r="O331" s="48" t="s">
        <v>604</v>
      </c>
      <c r="P331" s="28" t="s">
        <v>57</v>
      </c>
      <c r="Q331" s="48" t="s">
        <v>925</v>
      </c>
      <c r="R331" s="48" t="s">
        <v>27</v>
      </c>
      <c r="S331" s="28" t="s">
        <v>2631</v>
      </c>
      <c r="T331" s="12">
        <v>0</v>
      </c>
      <c r="U331" s="12"/>
      <c r="V331" s="17"/>
      <c r="W331" s="38"/>
      <c r="X331" s="12"/>
      <c r="Y331" s="17"/>
      <c r="Z331" s="57"/>
      <c r="AA331" s="66"/>
    </row>
    <row r="332" spans="1:27" s="58" customFormat="1" ht="140">
      <c r="A332" s="28" t="s">
        <v>736</v>
      </c>
      <c r="B332" s="28" t="s">
        <v>737</v>
      </c>
      <c r="C332" s="12">
        <v>331</v>
      </c>
      <c r="D332" s="47" t="s">
        <v>2342</v>
      </c>
      <c r="E332" s="48" t="s">
        <v>2514</v>
      </c>
      <c r="F332" s="28" t="s">
        <v>58</v>
      </c>
      <c r="G332" s="28" t="s">
        <v>3164</v>
      </c>
      <c r="H332" s="28" t="s">
        <v>1132</v>
      </c>
      <c r="I332" s="48" t="s">
        <v>2343</v>
      </c>
      <c r="J332" s="28">
        <v>2014</v>
      </c>
      <c r="K332" s="28">
        <v>2016</v>
      </c>
      <c r="L332" s="48" t="s">
        <v>1813</v>
      </c>
      <c r="M332" s="48" t="s">
        <v>1814</v>
      </c>
      <c r="N332" s="48" t="s">
        <v>750</v>
      </c>
      <c r="O332" s="48" t="s">
        <v>604</v>
      </c>
      <c r="P332" s="28" t="s">
        <v>57</v>
      </c>
      <c r="Q332" s="48" t="s">
        <v>925</v>
      </c>
      <c r="R332" s="48" t="s">
        <v>27</v>
      </c>
      <c r="S332" s="28" t="s">
        <v>2629</v>
      </c>
      <c r="T332" s="12">
        <v>1</v>
      </c>
      <c r="U332" s="12" t="s">
        <v>1781</v>
      </c>
      <c r="V332" s="17" t="s">
        <v>2344</v>
      </c>
      <c r="W332" s="38" t="s">
        <v>2345</v>
      </c>
      <c r="X332" s="12" t="s">
        <v>2970</v>
      </c>
      <c r="Y332" s="17" t="s">
        <v>1813</v>
      </c>
      <c r="Z332" s="57"/>
      <c r="AA332" s="66"/>
    </row>
    <row r="333" spans="1:27" s="58" customFormat="1" ht="52.5">
      <c r="A333" s="28" t="s">
        <v>736</v>
      </c>
      <c r="B333" s="28" t="s">
        <v>737</v>
      </c>
      <c r="C333" s="12">
        <v>332</v>
      </c>
      <c r="D333" s="47" t="s">
        <v>2318</v>
      </c>
      <c r="E333" s="48" t="s">
        <v>2508</v>
      </c>
      <c r="F333" s="28" t="s">
        <v>58</v>
      </c>
      <c r="G333" s="28" t="s">
        <v>3164</v>
      </c>
      <c r="H333" s="28" t="s">
        <v>1132</v>
      </c>
      <c r="I333" s="48" t="s">
        <v>2319</v>
      </c>
      <c r="J333" s="28">
        <v>2014</v>
      </c>
      <c r="K333" s="28">
        <v>2017</v>
      </c>
      <c r="L333" s="48" t="s">
        <v>1813</v>
      </c>
      <c r="M333" s="48" t="s">
        <v>1814</v>
      </c>
      <c r="N333" s="48" t="s">
        <v>750</v>
      </c>
      <c r="O333" s="48" t="s">
        <v>604</v>
      </c>
      <c r="P333" s="28" t="s">
        <v>57</v>
      </c>
      <c r="Q333" s="48" t="s">
        <v>925</v>
      </c>
      <c r="R333" s="48" t="s">
        <v>27</v>
      </c>
      <c r="S333" s="28" t="s">
        <v>2631</v>
      </c>
      <c r="T333" s="12">
        <v>0</v>
      </c>
      <c r="U333" s="12"/>
      <c r="V333" s="17"/>
      <c r="W333" s="38"/>
      <c r="X333" s="12"/>
      <c r="Y333" s="17"/>
      <c r="Z333" s="57"/>
      <c r="AA333" s="66"/>
    </row>
    <row r="334" spans="1:27" s="58" customFormat="1" ht="140">
      <c r="A334" s="28" t="s">
        <v>736</v>
      </c>
      <c r="B334" s="28" t="s">
        <v>737</v>
      </c>
      <c r="C334" s="12">
        <v>333</v>
      </c>
      <c r="D334" s="47" t="s">
        <v>2320</v>
      </c>
      <c r="E334" s="48" t="s">
        <v>2509</v>
      </c>
      <c r="F334" s="28" t="s">
        <v>58</v>
      </c>
      <c r="G334" s="28" t="s">
        <v>3164</v>
      </c>
      <c r="H334" s="28" t="s">
        <v>1132</v>
      </c>
      <c r="I334" s="48" t="s">
        <v>2321</v>
      </c>
      <c r="J334" s="28">
        <v>2014</v>
      </c>
      <c r="K334" s="28">
        <v>2017</v>
      </c>
      <c r="L334" s="48" t="s">
        <v>1813</v>
      </c>
      <c r="M334" s="48" t="s">
        <v>1814</v>
      </c>
      <c r="N334" s="48" t="s">
        <v>750</v>
      </c>
      <c r="O334" s="48" t="s">
        <v>604</v>
      </c>
      <c r="P334" s="28" t="s">
        <v>57</v>
      </c>
      <c r="Q334" s="48" t="s">
        <v>925</v>
      </c>
      <c r="R334" s="48" t="s">
        <v>27</v>
      </c>
      <c r="S334" s="28" t="s">
        <v>2631</v>
      </c>
      <c r="T334" s="12">
        <v>0</v>
      </c>
      <c r="U334" s="12"/>
      <c r="V334" s="17"/>
      <c r="W334" s="38"/>
      <c r="X334" s="12"/>
      <c r="Y334" s="17"/>
      <c r="Z334" s="57"/>
      <c r="AA334" s="66"/>
    </row>
    <row r="335" spans="1:27" s="58" customFormat="1" ht="105">
      <c r="A335" s="28" t="s">
        <v>736</v>
      </c>
      <c r="B335" s="28" t="s">
        <v>737</v>
      </c>
      <c r="C335" s="12">
        <v>334</v>
      </c>
      <c r="D335" s="47" t="s">
        <v>2324</v>
      </c>
      <c r="E335" s="48" t="s">
        <v>2511</v>
      </c>
      <c r="F335" s="28" t="s">
        <v>58</v>
      </c>
      <c r="G335" s="28" t="s">
        <v>3164</v>
      </c>
      <c r="H335" s="28" t="s">
        <v>1132</v>
      </c>
      <c r="I335" s="48" t="s">
        <v>2325</v>
      </c>
      <c r="J335" s="28">
        <v>2014</v>
      </c>
      <c r="K335" s="28">
        <v>2017</v>
      </c>
      <c r="L335" s="48" t="s">
        <v>1813</v>
      </c>
      <c r="M335" s="48" t="s">
        <v>1814</v>
      </c>
      <c r="N335" s="48" t="s">
        <v>750</v>
      </c>
      <c r="O335" s="48" t="s">
        <v>604</v>
      </c>
      <c r="P335" s="28" t="s">
        <v>57</v>
      </c>
      <c r="Q335" s="48" t="s">
        <v>925</v>
      </c>
      <c r="R335" s="48" t="s">
        <v>27</v>
      </c>
      <c r="S335" s="28" t="s">
        <v>2631</v>
      </c>
      <c r="T335" s="12">
        <v>0</v>
      </c>
      <c r="U335" s="12"/>
      <c r="V335" s="17"/>
      <c r="W335" s="38"/>
      <c r="X335" s="12"/>
      <c r="Y335" s="17"/>
      <c r="Z335" s="57"/>
      <c r="AA335" s="66"/>
    </row>
    <row r="336" spans="1:27" s="58" customFormat="1" ht="87.5">
      <c r="A336" s="28" t="s">
        <v>736</v>
      </c>
      <c r="B336" s="28" t="s">
        <v>737</v>
      </c>
      <c r="C336" s="12">
        <v>335</v>
      </c>
      <c r="D336" s="47" t="s">
        <v>2326</v>
      </c>
      <c r="E336" s="48" t="s">
        <v>2512</v>
      </c>
      <c r="F336" s="28" t="s">
        <v>58</v>
      </c>
      <c r="G336" s="28" t="s">
        <v>3164</v>
      </c>
      <c r="H336" s="28" t="s">
        <v>1132</v>
      </c>
      <c r="I336" s="48" t="s">
        <v>2327</v>
      </c>
      <c r="J336" s="28">
        <v>2015</v>
      </c>
      <c r="K336" s="28">
        <v>2017</v>
      </c>
      <c r="L336" s="48" t="s">
        <v>1813</v>
      </c>
      <c r="M336" s="48" t="s">
        <v>1814</v>
      </c>
      <c r="N336" s="48" t="s">
        <v>750</v>
      </c>
      <c r="O336" s="48" t="s">
        <v>604</v>
      </c>
      <c r="P336" s="28" t="s">
        <v>57</v>
      </c>
      <c r="Q336" s="48" t="s">
        <v>925</v>
      </c>
      <c r="R336" s="48" t="s">
        <v>27</v>
      </c>
      <c r="S336" s="28" t="s">
        <v>2631</v>
      </c>
      <c r="T336" s="12">
        <v>0</v>
      </c>
      <c r="U336" s="12"/>
      <c r="V336" s="17"/>
      <c r="W336" s="38"/>
      <c r="X336" s="12"/>
      <c r="Y336" s="17"/>
      <c r="Z336" s="57"/>
      <c r="AA336" s="66"/>
    </row>
    <row r="337" spans="1:27" s="58" customFormat="1" ht="52.5">
      <c r="A337" s="28" t="s">
        <v>736</v>
      </c>
      <c r="B337" s="28" t="s">
        <v>737</v>
      </c>
      <c r="C337" s="12">
        <v>336</v>
      </c>
      <c r="D337" s="47" t="s">
        <v>2312</v>
      </c>
      <c r="E337" s="48" t="s">
        <v>2506</v>
      </c>
      <c r="F337" s="28" t="s">
        <v>770</v>
      </c>
      <c r="G337" s="28" t="s">
        <v>2313</v>
      </c>
      <c r="H337" s="28" t="s">
        <v>1132</v>
      </c>
      <c r="I337" s="48" t="s">
        <v>2314</v>
      </c>
      <c r="J337" s="28">
        <v>2016</v>
      </c>
      <c r="K337" s="28">
        <v>2021</v>
      </c>
      <c r="L337" s="48" t="s">
        <v>1813</v>
      </c>
      <c r="M337" s="48" t="s">
        <v>1814</v>
      </c>
      <c r="N337" s="48"/>
      <c r="O337" s="48" t="s">
        <v>604</v>
      </c>
      <c r="P337" s="28" t="s">
        <v>57</v>
      </c>
      <c r="Q337" s="48" t="s">
        <v>925</v>
      </c>
      <c r="R337" s="48" t="s">
        <v>26</v>
      </c>
      <c r="S337" s="28" t="s">
        <v>2631</v>
      </c>
      <c r="T337" s="12">
        <v>0</v>
      </c>
      <c r="U337" s="12"/>
      <c r="V337" s="17"/>
      <c r="W337" s="38"/>
      <c r="X337" s="12"/>
      <c r="Y337" s="17"/>
      <c r="Z337" s="57"/>
      <c r="AA337" s="66"/>
    </row>
    <row r="338" spans="1:27" s="58" customFormat="1" ht="70">
      <c r="A338" s="28" t="s">
        <v>736</v>
      </c>
      <c r="B338" s="28" t="s">
        <v>737</v>
      </c>
      <c r="C338" s="12">
        <v>337</v>
      </c>
      <c r="D338" s="47" t="s">
        <v>2328</v>
      </c>
      <c r="E338" s="48" t="s">
        <v>2531</v>
      </c>
      <c r="F338" s="28" t="s">
        <v>58</v>
      </c>
      <c r="G338" s="28" t="s">
        <v>3164</v>
      </c>
      <c r="H338" s="28" t="s">
        <v>1132</v>
      </c>
      <c r="I338" s="48" t="s">
        <v>2329</v>
      </c>
      <c r="J338" s="28">
        <v>2017</v>
      </c>
      <c r="K338" s="28">
        <v>2020</v>
      </c>
      <c r="L338" s="48" t="s">
        <v>1813</v>
      </c>
      <c r="M338" s="48" t="s">
        <v>1814</v>
      </c>
      <c r="N338" s="48" t="s">
        <v>750</v>
      </c>
      <c r="O338" s="48" t="s">
        <v>604</v>
      </c>
      <c r="P338" s="28" t="s">
        <v>57</v>
      </c>
      <c r="Q338" s="48" t="s">
        <v>925</v>
      </c>
      <c r="R338" s="48" t="s">
        <v>27</v>
      </c>
      <c r="S338" s="28" t="s">
        <v>2631</v>
      </c>
      <c r="T338" s="12">
        <v>0</v>
      </c>
      <c r="U338" s="12"/>
      <c r="V338" s="17"/>
      <c r="W338" s="38"/>
      <c r="X338" s="12"/>
      <c r="Y338" s="17"/>
      <c r="Z338" s="57"/>
      <c r="AA338" s="66"/>
    </row>
    <row r="339" spans="1:27" s="58" customFormat="1" ht="35">
      <c r="A339" s="28" t="s">
        <v>736</v>
      </c>
      <c r="B339" s="28" t="s">
        <v>737</v>
      </c>
      <c r="C339" s="12">
        <v>338</v>
      </c>
      <c r="D339" s="47" t="s">
        <v>2330</v>
      </c>
      <c r="E339" s="48" t="s">
        <v>2530</v>
      </c>
      <c r="F339" s="28" t="s">
        <v>58</v>
      </c>
      <c r="G339" s="28" t="s">
        <v>3164</v>
      </c>
      <c r="H339" s="28" t="s">
        <v>1132</v>
      </c>
      <c r="I339" s="48" t="s">
        <v>2331</v>
      </c>
      <c r="J339" s="28">
        <v>2017</v>
      </c>
      <c r="K339" s="28">
        <v>2020</v>
      </c>
      <c r="L339" s="48" t="s">
        <v>1813</v>
      </c>
      <c r="M339" s="48" t="s">
        <v>1814</v>
      </c>
      <c r="N339" s="48" t="s">
        <v>750</v>
      </c>
      <c r="O339" s="48" t="s">
        <v>604</v>
      </c>
      <c r="P339" s="28" t="s">
        <v>57</v>
      </c>
      <c r="Q339" s="48" t="s">
        <v>925</v>
      </c>
      <c r="R339" s="48" t="s">
        <v>27</v>
      </c>
      <c r="S339" s="28" t="s">
        <v>2631</v>
      </c>
      <c r="T339" s="12">
        <v>0</v>
      </c>
      <c r="U339" s="12"/>
      <c r="V339" s="17"/>
      <c r="W339" s="38"/>
      <c r="X339" s="12"/>
      <c r="Y339" s="17"/>
      <c r="Z339" s="57"/>
      <c r="AA339" s="66"/>
    </row>
    <row r="340" spans="1:27" s="58" customFormat="1" ht="52.5">
      <c r="A340" s="28" t="s">
        <v>736</v>
      </c>
      <c r="B340" s="28" t="s">
        <v>737</v>
      </c>
      <c r="C340" s="12">
        <v>339</v>
      </c>
      <c r="D340" s="47" t="s">
        <v>2322</v>
      </c>
      <c r="E340" s="48" t="s">
        <v>2510</v>
      </c>
      <c r="F340" s="28" t="s">
        <v>58</v>
      </c>
      <c r="G340" s="28" t="s">
        <v>3164</v>
      </c>
      <c r="H340" s="28" t="s">
        <v>1132</v>
      </c>
      <c r="I340" s="48" t="s">
        <v>2323</v>
      </c>
      <c r="J340" s="28">
        <v>2018</v>
      </c>
      <c r="K340" s="28">
        <v>2021</v>
      </c>
      <c r="L340" s="48" t="s">
        <v>1813</v>
      </c>
      <c r="M340" s="48" t="s">
        <v>1814</v>
      </c>
      <c r="N340" s="48" t="s">
        <v>750</v>
      </c>
      <c r="O340" s="48" t="s">
        <v>604</v>
      </c>
      <c r="P340" s="28" t="s">
        <v>57</v>
      </c>
      <c r="Q340" s="48" t="s">
        <v>925</v>
      </c>
      <c r="R340" s="48" t="s">
        <v>27</v>
      </c>
      <c r="S340" s="28" t="s">
        <v>2631</v>
      </c>
      <c r="T340" s="12">
        <v>0</v>
      </c>
      <c r="U340" s="12"/>
      <c r="V340" s="17"/>
      <c r="W340" s="38"/>
      <c r="X340" s="12"/>
      <c r="Y340" s="17"/>
      <c r="Z340" s="57"/>
      <c r="AA340" s="66"/>
    </row>
    <row r="341" spans="1:27" s="58" customFormat="1" ht="70">
      <c r="A341" s="28" t="s">
        <v>736</v>
      </c>
      <c r="B341" s="28" t="s">
        <v>737</v>
      </c>
      <c r="C341" s="12">
        <v>340</v>
      </c>
      <c r="D341" s="47" t="s">
        <v>2332</v>
      </c>
      <c r="E341" s="48" t="s">
        <v>2529</v>
      </c>
      <c r="F341" s="28" t="s">
        <v>58</v>
      </c>
      <c r="G341" s="28" t="s">
        <v>3164</v>
      </c>
      <c r="H341" s="28" t="s">
        <v>1132</v>
      </c>
      <c r="I341" s="48" t="s">
        <v>2333</v>
      </c>
      <c r="J341" s="28">
        <v>2018</v>
      </c>
      <c r="K341" s="28">
        <v>2021</v>
      </c>
      <c r="L341" s="48" t="s">
        <v>1813</v>
      </c>
      <c r="M341" s="48" t="s">
        <v>1814</v>
      </c>
      <c r="N341" s="48" t="s">
        <v>750</v>
      </c>
      <c r="O341" s="48" t="s">
        <v>604</v>
      </c>
      <c r="P341" s="28" t="s">
        <v>57</v>
      </c>
      <c r="Q341" s="48" t="s">
        <v>925</v>
      </c>
      <c r="R341" s="48" t="s">
        <v>27</v>
      </c>
      <c r="S341" s="28" t="s">
        <v>2631</v>
      </c>
      <c r="T341" s="12">
        <v>0</v>
      </c>
      <c r="U341" s="12"/>
      <c r="V341" s="17"/>
      <c r="W341" s="38"/>
      <c r="X341" s="12"/>
      <c r="Y341" s="17"/>
      <c r="Z341" s="57"/>
      <c r="AA341" s="66"/>
    </row>
    <row r="342" spans="1:27" s="58" customFormat="1" ht="210">
      <c r="A342" s="28" t="s">
        <v>736</v>
      </c>
      <c r="B342" s="28" t="s">
        <v>737</v>
      </c>
      <c r="C342" s="12">
        <v>341</v>
      </c>
      <c r="D342" s="47" t="s">
        <v>1863</v>
      </c>
      <c r="E342" s="48" t="s">
        <v>2293</v>
      </c>
      <c r="F342" s="28" t="s">
        <v>58</v>
      </c>
      <c r="G342" s="28" t="s">
        <v>3164</v>
      </c>
      <c r="H342" s="28" t="s">
        <v>1132</v>
      </c>
      <c r="I342" s="44" t="s">
        <v>1864</v>
      </c>
      <c r="J342" s="28">
        <v>2019</v>
      </c>
      <c r="K342" s="28">
        <v>2023</v>
      </c>
      <c r="L342" s="48" t="s">
        <v>1813</v>
      </c>
      <c r="M342" s="48" t="s">
        <v>1814</v>
      </c>
      <c r="N342" s="48" t="s">
        <v>750</v>
      </c>
      <c r="O342" s="48" t="s">
        <v>604</v>
      </c>
      <c r="P342" s="28" t="s">
        <v>57</v>
      </c>
      <c r="Q342" s="48" t="s">
        <v>925</v>
      </c>
      <c r="R342" s="48" t="s">
        <v>27</v>
      </c>
      <c r="S342" s="28" t="s">
        <v>2631</v>
      </c>
      <c r="T342" s="12">
        <v>0</v>
      </c>
      <c r="U342" s="12"/>
      <c r="V342" s="17"/>
      <c r="W342" s="38"/>
      <c r="X342" s="12"/>
      <c r="Y342" s="17"/>
      <c r="Z342" s="57"/>
      <c r="AA342" s="66"/>
    </row>
    <row r="343" spans="1:27" s="58" customFormat="1" ht="262.5">
      <c r="A343" s="28" t="s">
        <v>736</v>
      </c>
      <c r="B343" s="28" t="s">
        <v>737</v>
      </c>
      <c r="C343" s="12">
        <v>342</v>
      </c>
      <c r="D343" s="47" t="s">
        <v>1865</v>
      </c>
      <c r="E343" s="48" t="s">
        <v>2306</v>
      </c>
      <c r="F343" s="28" t="s">
        <v>58</v>
      </c>
      <c r="G343" s="28" t="s">
        <v>3164</v>
      </c>
      <c r="H343" s="28" t="s">
        <v>1132</v>
      </c>
      <c r="I343" s="44" t="s">
        <v>1866</v>
      </c>
      <c r="J343" s="28">
        <v>2019</v>
      </c>
      <c r="K343" s="28">
        <v>2023</v>
      </c>
      <c r="L343" s="48" t="s">
        <v>1813</v>
      </c>
      <c r="M343" s="48" t="s">
        <v>1814</v>
      </c>
      <c r="N343" s="48" t="s">
        <v>750</v>
      </c>
      <c r="O343" s="48" t="s">
        <v>604</v>
      </c>
      <c r="P343" s="28" t="s">
        <v>57</v>
      </c>
      <c r="Q343" s="48" t="s">
        <v>925</v>
      </c>
      <c r="R343" s="48" t="s">
        <v>28</v>
      </c>
      <c r="S343" s="28" t="s">
        <v>2631</v>
      </c>
      <c r="T343" s="12">
        <v>0</v>
      </c>
      <c r="U343" s="12"/>
      <c r="V343" s="17"/>
      <c r="W343" s="38"/>
      <c r="X343" s="12"/>
      <c r="Y343" s="17"/>
      <c r="Z343" s="57"/>
      <c r="AA343" s="66"/>
    </row>
    <row r="344" spans="1:27" s="58" customFormat="1" ht="245">
      <c r="A344" s="28" t="s">
        <v>736</v>
      </c>
      <c r="B344" s="28" t="s">
        <v>737</v>
      </c>
      <c r="C344" s="12">
        <v>343</v>
      </c>
      <c r="D344" s="47" t="s">
        <v>1858</v>
      </c>
      <c r="E344" s="48" t="s">
        <v>1859</v>
      </c>
      <c r="F344" s="28" t="s">
        <v>58</v>
      </c>
      <c r="G344" s="28" t="s">
        <v>3164</v>
      </c>
      <c r="H344" s="28" t="s">
        <v>1132</v>
      </c>
      <c r="I344" s="44" t="s">
        <v>1860</v>
      </c>
      <c r="J344" s="28">
        <v>2020</v>
      </c>
      <c r="K344" s="28">
        <v>2023</v>
      </c>
      <c r="L344" s="48" t="s">
        <v>1813</v>
      </c>
      <c r="M344" s="48" t="s">
        <v>1814</v>
      </c>
      <c r="N344" s="48" t="s">
        <v>750</v>
      </c>
      <c r="O344" s="48" t="s">
        <v>604</v>
      </c>
      <c r="P344" s="28" t="s">
        <v>57</v>
      </c>
      <c r="Q344" s="48" t="s">
        <v>925</v>
      </c>
      <c r="R344" s="48" t="s">
        <v>26</v>
      </c>
      <c r="S344" s="28" t="s">
        <v>2631</v>
      </c>
      <c r="T344" s="12">
        <v>0</v>
      </c>
      <c r="U344" s="12"/>
      <c r="V344" s="17"/>
      <c r="W344" s="38"/>
      <c r="X344" s="12"/>
      <c r="Y344" s="17"/>
      <c r="Z344" s="57"/>
      <c r="AA344" s="66"/>
    </row>
    <row r="345" spans="1:27" s="58" customFormat="1" ht="105">
      <c r="A345" s="28" t="s">
        <v>736</v>
      </c>
      <c r="B345" s="28" t="s">
        <v>737</v>
      </c>
      <c r="C345" s="12">
        <v>344</v>
      </c>
      <c r="D345" s="47" t="s">
        <v>2315</v>
      </c>
      <c r="E345" s="48" t="s">
        <v>2507</v>
      </c>
      <c r="F345" s="28" t="s">
        <v>162</v>
      </c>
      <c r="G345" s="28" t="s">
        <v>2316</v>
      </c>
      <c r="H345" s="28" t="s">
        <v>1132</v>
      </c>
      <c r="I345" s="48" t="s">
        <v>2317</v>
      </c>
      <c r="J345" s="28">
        <v>2020</v>
      </c>
      <c r="K345" s="28">
        <v>2023</v>
      </c>
      <c r="L345" s="48" t="s">
        <v>1813</v>
      </c>
      <c r="M345" s="48" t="s">
        <v>1814</v>
      </c>
      <c r="N345" s="48"/>
      <c r="O345" s="48" t="s">
        <v>604</v>
      </c>
      <c r="P345" s="28" t="s">
        <v>57</v>
      </c>
      <c r="Q345" s="48" t="s">
        <v>925</v>
      </c>
      <c r="R345" s="48" t="s">
        <v>26</v>
      </c>
      <c r="S345" s="28" t="s">
        <v>2631</v>
      </c>
      <c r="T345" s="12">
        <v>0</v>
      </c>
      <c r="U345" s="12"/>
      <c r="V345" s="17"/>
      <c r="W345" s="38"/>
      <c r="X345" s="12"/>
      <c r="Y345" s="17"/>
      <c r="Z345" s="57"/>
      <c r="AA345" s="66"/>
    </row>
    <row r="346" spans="1:27" s="58" customFormat="1" ht="175">
      <c r="A346" s="28" t="s">
        <v>736</v>
      </c>
      <c r="B346" s="28" t="s">
        <v>737</v>
      </c>
      <c r="C346" s="12">
        <v>345</v>
      </c>
      <c r="D346" s="47" t="s">
        <v>1871</v>
      </c>
      <c r="E346" s="48" t="s">
        <v>2291</v>
      </c>
      <c r="F346" s="28" t="s">
        <v>58</v>
      </c>
      <c r="G346" s="28" t="s">
        <v>3164</v>
      </c>
      <c r="H346" s="28" t="s">
        <v>164</v>
      </c>
      <c r="I346" s="44" t="s">
        <v>1872</v>
      </c>
      <c r="J346" s="28">
        <v>2020</v>
      </c>
      <c r="K346" s="28">
        <v>2024</v>
      </c>
      <c r="L346" s="48" t="s">
        <v>1813</v>
      </c>
      <c r="M346" s="48" t="s">
        <v>1814</v>
      </c>
      <c r="N346" s="48" t="s">
        <v>750</v>
      </c>
      <c r="O346" s="48" t="s">
        <v>604</v>
      </c>
      <c r="P346" s="28" t="s">
        <v>57</v>
      </c>
      <c r="Q346" s="48" t="s">
        <v>925</v>
      </c>
      <c r="R346" s="48" t="s">
        <v>28</v>
      </c>
      <c r="S346" s="28" t="s">
        <v>2631</v>
      </c>
      <c r="T346" s="12">
        <v>0</v>
      </c>
      <c r="U346" s="12"/>
      <c r="V346" s="17"/>
      <c r="W346" s="38"/>
      <c r="X346" s="12"/>
      <c r="Y346" s="17"/>
      <c r="Z346" s="57"/>
      <c r="AA346" s="66"/>
    </row>
    <row r="347" spans="1:27" s="58" customFormat="1" ht="227.5">
      <c r="A347" s="28" t="s">
        <v>736</v>
      </c>
      <c r="B347" s="28" t="s">
        <v>737</v>
      </c>
      <c r="C347" s="12">
        <v>346</v>
      </c>
      <c r="D347" s="47" t="s">
        <v>1867</v>
      </c>
      <c r="E347" s="48" t="s">
        <v>2292</v>
      </c>
      <c r="F347" s="28" t="s">
        <v>58</v>
      </c>
      <c r="G347" s="28" t="s">
        <v>3164</v>
      </c>
      <c r="H347" s="28" t="s">
        <v>1132</v>
      </c>
      <c r="I347" s="44" t="s">
        <v>1868</v>
      </c>
      <c r="J347" s="28">
        <v>2020</v>
      </c>
      <c r="K347" s="28">
        <v>2024</v>
      </c>
      <c r="L347" s="48" t="s">
        <v>1813</v>
      </c>
      <c r="M347" s="48" t="s">
        <v>1814</v>
      </c>
      <c r="N347" s="48" t="s">
        <v>750</v>
      </c>
      <c r="O347" s="48" t="s">
        <v>604</v>
      </c>
      <c r="P347" s="28" t="s">
        <v>57</v>
      </c>
      <c r="Q347" s="48" t="s">
        <v>925</v>
      </c>
      <c r="R347" s="48" t="s">
        <v>28</v>
      </c>
      <c r="S347" s="28" t="s">
        <v>2631</v>
      </c>
      <c r="T347" s="12">
        <v>0</v>
      </c>
      <c r="U347" s="12"/>
      <c r="V347" s="17"/>
      <c r="W347" s="38"/>
      <c r="X347" s="12"/>
      <c r="Y347" s="17"/>
      <c r="Z347" s="57"/>
      <c r="AA347" s="66"/>
    </row>
    <row r="348" spans="1:27" s="58" customFormat="1" ht="87.5">
      <c r="A348" s="28" t="s">
        <v>736</v>
      </c>
      <c r="B348" s="28" t="s">
        <v>737</v>
      </c>
      <c r="C348" s="12">
        <v>347</v>
      </c>
      <c r="D348" s="47" t="s">
        <v>1861</v>
      </c>
      <c r="E348" s="48" t="s">
        <v>2288</v>
      </c>
      <c r="F348" s="28" t="s">
        <v>58</v>
      </c>
      <c r="G348" s="28" t="s">
        <v>3164</v>
      </c>
      <c r="H348" s="28" t="s">
        <v>1132</v>
      </c>
      <c r="I348" s="44" t="s">
        <v>1862</v>
      </c>
      <c r="J348" s="28">
        <v>2021</v>
      </c>
      <c r="K348" s="28">
        <v>2024</v>
      </c>
      <c r="L348" s="48" t="s">
        <v>1813</v>
      </c>
      <c r="M348" s="48" t="s">
        <v>1814</v>
      </c>
      <c r="N348" s="48" t="s">
        <v>750</v>
      </c>
      <c r="O348" s="48" t="s">
        <v>604</v>
      </c>
      <c r="P348" s="28" t="s">
        <v>57</v>
      </c>
      <c r="Q348" s="48" t="s">
        <v>925</v>
      </c>
      <c r="R348" s="48" t="s">
        <v>26</v>
      </c>
      <c r="S348" s="28" t="s">
        <v>2631</v>
      </c>
      <c r="T348" s="12">
        <v>0</v>
      </c>
      <c r="U348" s="12"/>
      <c r="V348" s="17"/>
      <c r="W348" s="38"/>
      <c r="X348" s="12"/>
      <c r="Y348" s="17"/>
      <c r="Z348" s="57"/>
      <c r="AA348" s="66"/>
    </row>
    <row r="349" spans="1:27" s="58" customFormat="1" ht="87.5">
      <c r="A349" s="28" t="s">
        <v>736</v>
      </c>
      <c r="B349" s="28" t="s">
        <v>737</v>
      </c>
      <c r="C349" s="12">
        <v>348</v>
      </c>
      <c r="D349" s="47" t="s">
        <v>1879</v>
      </c>
      <c r="E349" s="48" t="s">
        <v>2294</v>
      </c>
      <c r="F349" s="28" t="s">
        <v>58</v>
      </c>
      <c r="G349" s="28" t="s">
        <v>3164</v>
      </c>
      <c r="H349" s="28" t="s">
        <v>164</v>
      </c>
      <c r="I349" s="44" t="s">
        <v>1880</v>
      </c>
      <c r="J349" s="28">
        <v>2022</v>
      </c>
      <c r="K349" s="157">
        <v>2026</v>
      </c>
      <c r="L349" s="48" t="s">
        <v>1813</v>
      </c>
      <c r="M349" s="48" t="s">
        <v>1814</v>
      </c>
      <c r="N349" s="163" t="s">
        <v>2253</v>
      </c>
      <c r="O349" s="48" t="s">
        <v>604</v>
      </c>
      <c r="P349" s="28" t="s">
        <v>57</v>
      </c>
      <c r="Q349" s="48" t="s">
        <v>925</v>
      </c>
      <c r="R349" s="48" t="s">
        <v>27</v>
      </c>
      <c r="S349" s="28" t="s">
        <v>2631</v>
      </c>
      <c r="T349" s="12">
        <v>0</v>
      </c>
      <c r="U349" s="12"/>
      <c r="V349" s="17"/>
      <c r="W349" s="38"/>
      <c r="X349" s="12"/>
      <c r="Y349" s="17"/>
      <c r="Z349" s="57"/>
      <c r="AA349" s="66"/>
    </row>
    <row r="350" spans="1:27" s="58" customFormat="1" ht="227.5">
      <c r="A350" s="28" t="s">
        <v>736</v>
      </c>
      <c r="B350" s="28" t="s">
        <v>737</v>
      </c>
      <c r="C350" s="12">
        <v>349</v>
      </c>
      <c r="D350" s="47" t="s">
        <v>1869</v>
      </c>
      <c r="E350" s="163" t="s">
        <v>2759</v>
      </c>
      <c r="F350" s="28" t="s">
        <v>58</v>
      </c>
      <c r="G350" s="28" t="s">
        <v>3164</v>
      </c>
      <c r="H350" s="157" t="s">
        <v>1132</v>
      </c>
      <c r="I350" s="44" t="s">
        <v>1870</v>
      </c>
      <c r="J350" s="28">
        <v>2022</v>
      </c>
      <c r="K350" s="28">
        <v>2025</v>
      </c>
      <c r="L350" s="48" t="s">
        <v>1813</v>
      </c>
      <c r="M350" s="48" t="s">
        <v>1814</v>
      </c>
      <c r="N350" s="163" t="s">
        <v>2253</v>
      </c>
      <c r="O350" s="48" t="s">
        <v>604</v>
      </c>
      <c r="P350" s="28" t="s">
        <v>57</v>
      </c>
      <c r="Q350" s="48" t="s">
        <v>925</v>
      </c>
      <c r="R350" s="48" t="s">
        <v>28</v>
      </c>
      <c r="S350" s="28" t="s">
        <v>2631</v>
      </c>
      <c r="T350" s="12">
        <v>0</v>
      </c>
      <c r="U350" s="12"/>
      <c r="V350" s="17"/>
      <c r="W350" s="38"/>
      <c r="X350" s="12"/>
      <c r="Y350" s="17"/>
      <c r="Z350" s="57"/>
      <c r="AA350" s="66"/>
    </row>
    <row r="351" spans="1:27" s="58" customFormat="1" ht="140">
      <c r="A351" s="28" t="s">
        <v>736</v>
      </c>
      <c r="B351" s="28" t="s">
        <v>737</v>
      </c>
      <c r="C351" s="12">
        <v>350</v>
      </c>
      <c r="D351" s="47" t="s">
        <v>1877</v>
      </c>
      <c r="E351" s="163" t="s">
        <v>2760</v>
      </c>
      <c r="F351" s="28" t="s">
        <v>58</v>
      </c>
      <c r="G351" s="28" t="s">
        <v>3164</v>
      </c>
      <c r="H351" s="157" t="s">
        <v>1132</v>
      </c>
      <c r="I351" s="44" t="s">
        <v>1878</v>
      </c>
      <c r="J351" s="28">
        <v>2022</v>
      </c>
      <c r="K351" s="28">
        <v>2025</v>
      </c>
      <c r="L351" s="48" t="s">
        <v>1813</v>
      </c>
      <c r="M351" s="48" t="s">
        <v>1814</v>
      </c>
      <c r="N351" s="163" t="s">
        <v>2253</v>
      </c>
      <c r="O351" s="48" t="s">
        <v>604</v>
      </c>
      <c r="P351" s="28" t="s">
        <v>57</v>
      </c>
      <c r="Q351" s="48" t="s">
        <v>925</v>
      </c>
      <c r="R351" s="48" t="s">
        <v>28</v>
      </c>
      <c r="S351" s="28" t="s">
        <v>2631</v>
      </c>
      <c r="T351" s="12">
        <v>0</v>
      </c>
      <c r="U351" s="12"/>
      <c r="V351" s="17"/>
      <c r="W351" s="38"/>
      <c r="X351" s="12"/>
      <c r="Y351" s="17"/>
      <c r="Z351" s="57"/>
      <c r="AA351" s="66"/>
    </row>
    <row r="352" spans="1:27" s="58" customFormat="1" ht="87.5">
      <c r="A352" s="28" t="s">
        <v>736</v>
      </c>
      <c r="B352" s="28" t="s">
        <v>737</v>
      </c>
      <c r="C352" s="12">
        <v>351</v>
      </c>
      <c r="D352" s="47" t="s">
        <v>1873</v>
      </c>
      <c r="E352" s="48" t="s">
        <v>2532</v>
      </c>
      <c r="F352" s="28" t="s">
        <v>58</v>
      </c>
      <c r="G352" s="28" t="s">
        <v>3164</v>
      </c>
      <c r="H352" s="28" t="s">
        <v>164</v>
      </c>
      <c r="I352" s="44" t="s">
        <v>1874</v>
      </c>
      <c r="J352" s="28">
        <v>2023</v>
      </c>
      <c r="K352" s="28">
        <v>2025</v>
      </c>
      <c r="L352" s="48" t="s">
        <v>1813</v>
      </c>
      <c r="M352" s="48" t="s">
        <v>1814</v>
      </c>
      <c r="N352" s="163" t="s">
        <v>2253</v>
      </c>
      <c r="O352" s="48" t="s">
        <v>604</v>
      </c>
      <c r="P352" s="28" t="s">
        <v>57</v>
      </c>
      <c r="Q352" s="48" t="s">
        <v>925</v>
      </c>
      <c r="R352" s="48" t="s">
        <v>28</v>
      </c>
      <c r="S352" s="28" t="s">
        <v>2631</v>
      </c>
      <c r="T352" s="12">
        <v>0</v>
      </c>
      <c r="U352" s="12"/>
      <c r="V352" s="17"/>
      <c r="W352" s="38"/>
      <c r="X352" s="12"/>
      <c r="Y352" s="17"/>
      <c r="Z352" s="57"/>
      <c r="AA352" s="66"/>
    </row>
    <row r="353" spans="1:27" s="58" customFormat="1" ht="87.5">
      <c r="A353" s="28" t="s">
        <v>736</v>
      </c>
      <c r="B353" s="28" t="s">
        <v>737</v>
      </c>
      <c r="C353" s="12">
        <v>352</v>
      </c>
      <c r="D353" s="47" t="s">
        <v>1875</v>
      </c>
      <c r="E353" s="48" t="s">
        <v>2533</v>
      </c>
      <c r="F353" s="28" t="s">
        <v>58</v>
      </c>
      <c r="G353" s="28" t="s">
        <v>3164</v>
      </c>
      <c r="H353" s="28" t="s">
        <v>164</v>
      </c>
      <c r="I353" s="44" t="s">
        <v>1876</v>
      </c>
      <c r="J353" s="28">
        <v>2023</v>
      </c>
      <c r="K353" s="157">
        <v>2026</v>
      </c>
      <c r="L353" s="48" t="s">
        <v>1813</v>
      </c>
      <c r="M353" s="48" t="s">
        <v>1814</v>
      </c>
      <c r="N353" s="163" t="s">
        <v>2253</v>
      </c>
      <c r="O353" s="48" t="s">
        <v>604</v>
      </c>
      <c r="P353" s="28" t="s">
        <v>57</v>
      </c>
      <c r="Q353" s="48" t="s">
        <v>925</v>
      </c>
      <c r="R353" s="48" t="s">
        <v>28</v>
      </c>
      <c r="S353" s="28" t="s">
        <v>2631</v>
      </c>
      <c r="T353" s="12">
        <v>0</v>
      </c>
      <c r="U353" s="12"/>
      <c r="V353" s="17"/>
      <c r="W353" s="38"/>
      <c r="X353" s="12"/>
      <c r="Y353" s="17"/>
      <c r="Z353" s="57"/>
      <c r="AA353" s="66"/>
    </row>
    <row r="354" spans="1:27" s="58" customFormat="1" ht="385">
      <c r="A354" s="28" t="s">
        <v>736</v>
      </c>
      <c r="B354" s="28" t="s">
        <v>737</v>
      </c>
      <c r="C354" s="12">
        <v>353</v>
      </c>
      <c r="D354" s="47" t="s">
        <v>1815</v>
      </c>
      <c r="E354" s="48" t="s">
        <v>1816</v>
      </c>
      <c r="F354" s="28" t="s">
        <v>58</v>
      </c>
      <c r="G354" s="28" t="s">
        <v>3164</v>
      </c>
      <c r="H354" s="28" t="s">
        <v>164</v>
      </c>
      <c r="I354" s="44" t="s">
        <v>1817</v>
      </c>
      <c r="J354" s="28">
        <v>2024</v>
      </c>
      <c r="K354" s="157">
        <v>2027</v>
      </c>
      <c r="L354" s="48" t="s">
        <v>1813</v>
      </c>
      <c r="M354" s="48" t="s">
        <v>1814</v>
      </c>
      <c r="N354" s="163" t="s">
        <v>2253</v>
      </c>
      <c r="O354" s="48" t="s">
        <v>604</v>
      </c>
      <c r="P354" s="28" t="s">
        <v>57</v>
      </c>
      <c r="Q354" s="48" t="s">
        <v>925</v>
      </c>
      <c r="R354" s="48" t="s">
        <v>26</v>
      </c>
      <c r="S354" s="28" t="s">
        <v>2631</v>
      </c>
      <c r="T354" s="12">
        <v>0</v>
      </c>
      <c r="U354" s="12"/>
      <c r="V354" s="17"/>
      <c r="W354" s="38"/>
      <c r="X354" s="12"/>
      <c r="Y354" s="17"/>
      <c r="Z354" s="57"/>
      <c r="AA354" s="66"/>
    </row>
    <row r="355" spans="1:27" s="58" customFormat="1" ht="350">
      <c r="A355" s="268" t="s">
        <v>736</v>
      </c>
      <c r="B355" s="292" t="s">
        <v>1125</v>
      </c>
      <c r="C355" s="269">
        <v>354</v>
      </c>
      <c r="D355" s="303" t="s">
        <v>1127</v>
      </c>
      <c r="E355" s="270" t="s">
        <v>1128</v>
      </c>
      <c r="F355" s="269" t="s">
        <v>58</v>
      </c>
      <c r="G355" s="269" t="s">
        <v>3163</v>
      </c>
      <c r="H355" s="269" t="s">
        <v>2947</v>
      </c>
      <c r="I355" s="271" t="s">
        <v>751</v>
      </c>
      <c r="J355" s="269">
        <v>2023</v>
      </c>
      <c r="K355" s="204" t="s">
        <v>2868</v>
      </c>
      <c r="L355" s="271" t="s">
        <v>1129</v>
      </c>
      <c r="M355" s="270" t="s">
        <v>1130</v>
      </c>
      <c r="N355" s="205" t="s">
        <v>2253</v>
      </c>
      <c r="O355" s="270" t="s">
        <v>604</v>
      </c>
      <c r="P355" s="292" t="s">
        <v>57</v>
      </c>
      <c r="Q355" s="270" t="s">
        <v>925</v>
      </c>
      <c r="R355" s="270" t="s">
        <v>27</v>
      </c>
      <c r="S355" s="268" t="s">
        <v>2631</v>
      </c>
      <c r="T355" s="269">
        <v>0</v>
      </c>
      <c r="U355" s="12"/>
      <c r="V355" s="17"/>
      <c r="W355" s="38"/>
      <c r="X355" s="12"/>
      <c r="Y355" s="17"/>
      <c r="Z355" s="27"/>
      <c r="AA355" s="66"/>
    </row>
    <row r="356" spans="1:27" s="58" customFormat="1" ht="192.5">
      <c r="A356" s="28" t="s">
        <v>736</v>
      </c>
      <c r="B356" s="73" t="s">
        <v>737</v>
      </c>
      <c r="C356" s="12">
        <v>355</v>
      </c>
      <c r="D356" s="72" t="s">
        <v>2309</v>
      </c>
      <c r="E356" s="48" t="s">
        <v>2310</v>
      </c>
      <c r="F356" s="28" t="s">
        <v>403</v>
      </c>
      <c r="G356" s="73" t="s">
        <v>2609</v>
      </c>
      <c r="H356" s="28" t="s">
        <v>1132</v>
      </c>
      <c r="I356" s="75" t="s">
        <v>2311</v>
      </c>
      <c r="J356" s="28">
        <v>2017</v>
      </c>
      <c r="K356" s="73">
        <v>2021</v>
      </c>
      <c r="L356" s="75" t="s">
        <v>2356</v>
      </c>
      <c r="M356" s="48" t="s">
        <v>2355</v>
      </c>
      <c r="N356" s="48" t="s">
        <v>3133</v>
      </c>
      <c r="O356" s="48" t="s">
        <v>604</v>
      </c>
      <c r="P356" s="73" t="s">
        <v>538</v>
      </c>
      <c r="Q356" s="48" t="s">
        <v>925</v>
      </c>
      <c r="R356" s="48" t="s">
        <v>93</v>
      </c>
      <c r="S356" s="28" t="s">
        <v>2631</v>
      </c>
      <c r="T356" s="12">
        <v>0</v>
      </c>
      <c r="U356" s="12"/>
      <c r="V356" s="17"/>
      <c r="W356" s="38"/>
      <c r="X356" s="12"/>
      <c r="Y356" s="17"/>
      <c r="Z356" s="57"/>
      <c r="AA356" s="66"/>
    </row>
    <row r="357" spans="1:27" s="58" customFormat="1" ht="52.5">
      <c r="A357" s="28" t="s">
        <v>736</v>
      </c>
      <c r="B357" s="51" t="s">
        <v>737</v>
      </c>
      <c r="C357" s="12">
        <v>356</v>
      </c>
      <c r="D357" s="118" t="s">
        <v>1807</v>
      </c>
      <c r="E357" s="15" t="s">
        <v>1808</v>
      </c>
      <c r="F357" s="12" t="s">
        <v>534</v>
      </c>
      <c r="G357" s="92">
        <v>2888</v>
      </c>
      <c r="H357" s="12" t="s">
        <v>164</v>
      </c>
      <c r="I357" s="119" t="s">
        <v>1809</v>
      </c>
      <c r="J357" s="12">
        <v>2020</v>
      </c>
      <c r="K357" s="92">
        <v>2024</v>
      </c>
      <c r="L357" s="91" t="s">
        <v>1805</v>
      </c>
      <c r="M357" s="15" t="s">
        <v>1806</v>
      </c>
      <c r="N357" s="12"/>
      <c r="O357" s="15" t="s">
        <v>604</v>
      </c>
      <c r="P357" s="92" t="s">
        <v>847</v>
      </c>
      <c r="Q357" s="15" t="s">
        <v>859</v>
      </c>
      <c r="R357" s="15" t="s">
        <v>860</v>
      </c>
      <c r="S357" s="28" t="s">
        <v>2629</v>
      </c>
      <c r="T357" s="12">
        <v>1</v>
      </c>
      <c r="U357" s="12" t="s">
        <v>1781</v>
      </c>
      <c r="V357" s="17" t="s">
        <v>1810</v>
      </c>
      <c r="W357" s="38" t="s">
        <v>1811</v>
      </c>
      <c r="X357" s="12" t="s">
        <v>2972</v>
      </c>
      <c r="Y357" s="17" t="s">
        <v>1805</v>
      </c>
      <c r="Z357" s="67"/>
      <c r="AA357" s="66"/>
    </row>
    <row r="358" spans="1:27" s="58" customFormat="1" ht="87.5">
      <c r="A358" s="28" t="s">
        <v>736</v>
      </c>
      <c r="B358" s="51" t="s">
        <v>737</v>
      </c>
      <c r="C358" s="12">
        <v>357</v>
      </c>
      <c r="D358" s="118" t="s">
        <v>1795</v>
      </c>
      <c r="E358" s="15" t="s">
        <v>1796</v>
      </c>
      <c r="F358" s="12" t="s">
        <v>58</v>
      </c>
      <c r="G358" s="92" t="s">
        <v>3161</v>
      </c>
      <c r="H358" s="12" t="s">
        <v>1132</v>
      </c>
      <c r="I358" s="119" t="s">
        <v>741</v>
      </c>
      <c r="J358" s="12">
        <v>2015</v>
      </c>
      <c r="K358" s="92">
        <v>2020</v>
      </c>
      <c r="L358" s="91" t="s">
        <v>739</v>
      </c>
      <c r="M358" s="15" t="s">
        <v>1820</v>
      </c>
      <c r="N358" s="15" t="s">
        <v>740</v>
      </c>
      <c r="O358" s="15" t="s">
        <v>604</v>
      </c>
      <c r="P358" s="92" t="s">
        <v>538</v>
      </c>
      <c r="Q358" s="15" t="s">
        <v>925</v>
      </c>
      <c r="R358" s="15" t="s">
        <v>28</v>
      </c>
      <c r="S358" s="28" t="s">
        <v>2629</v>
      </c>
      <c r="T358" s="12">
        <v>1</v>
      </c>
      <c r="U358" s="12" t="s">
        <v>2964</v>
      </c>
      <c r="V358" s="17" t="s">
        <v>3020</v>
      </c>
      <c r="W358" s="38" t="s">
        <v>2368</v>
      </c>
      <c r="X358" s="12" t="s">
        <v>1595</v>
      </c>
      <c r="Y358" s="17" t="s">
        <v>2367</v>
      </c>
      <c r="Z358" s="67"/>
      <c r="AA358" s="66"/>
    </row>
    <row r="359" spans="1:27" s="58" customFormat="1" ht="87.5">
      <c r="A359" s="28" t="s">
        <v>736</v>
      </c>
      <c r="B359" s="51" t="s">
        <v>737</v>
      </c>
      <c r="C359" s="12">
        <v>358</v>
      </c>
      <c r="D359" s="118" t="s">
        <v>1797</v>
      </c>
      <c r="E359" s="15" t="s">
        <v>1798</v>
      </c>
      <c r="F359" s="12" t="s">
        <v>58</v>
      </c>
      <c r="G359" s="92" t="s">
        <v>3161</v>
      </c>
      <c r="H359" s="12" t="s">
        <v>1132</v>
      </c>
      <c r="I359" s="119" t="s">
        <v>742</v>
      </c>
      <c r="J359" s="12">
        <v>2017</v>
      </c>
      <c r="K359" s="92">
        <v>2020</v>
      </c>
      <c r="L359" s="91" t="s">
        <v>739</v>
      </c>
      <c r="M359" s="15" t="s">
        <v>1820</v>
      </c>
      <c r="N359" s="15" t="s">
        <v>740</v>
      </c>
      <c r="O359" s="15" t="s">
        <v>604</v>
      </c>
      <c r="P359" s="92" t="s">
        <v>57</v>
      </c>
      <c r="Q359" s="15" t="s">
        <v>925</v>
      </c>
      <c r="R359" s="15" t="s">
        <v>28</v>
      </c>
      <c r="S359" s="28" t="s">
        <v>2631</v>
      </c>
      <c r="T359" s="12">
        <v>0</v>
      </c>
      <c r="U359" s="12"/>
      <c r="V359" s="17"/>
      <c r="W359" s="38"/>
      <c r="X359" s="12"/>
      <c r="Y359" s="17"/>
      <c r="Z359" s="67"/>
      <c r="AA359" s="66"/>
    </row>
    <row r="360" spans="1:27" s="58" customFormat="1" ht="70">
      <c r="A360" s="28" t="s">
        <v>736</v>
      </c>
      <c r="B360" s="51" t="s">
        <v>737</v>
      </c>
      <c r="C360" s="12">
        <v>359</v>
      </c>
      <c r="D360" s="118" t="s">
        <v>1799</v>
      </c>
      <c r="E360" s="15" t="s">
        <v>1800</v>
      </c>
      <c r="F360" s="12" t="s">
        <v>58</v>
      </c>
      <c r="G360" s="92" t="s">
        <v>3161</v>
      </c>
      <c r="H360" s="12" t="s">
        <v>1132</v>
      </c>
      <c r="I360" s="119" t="s">
        <v>743</v>
      </c>
      <c r="J360" s="12">
        <v>2017</v>
      </c>
      <c r="K360" s="92">
        <v>2020</v>
      </c>
      <c r="L360" s="91" t="s">
        <v>739</v>
      </c>
      <c r="M360" s="15" t="s">
        <v>1820</v>
      </c>
      <c r="N360" s="15" t="s">
        <v>2254</v>
      </c>
      <c r="O360" s="91" t="s">
        <v>604</v>
      </c>
      <c r="P360" s="92" t="s">
        <v>57</v>
      </c>
      <c r="Q360" s="15" t="s">
        <v>925</v>
      </c>
      <c r="R360" s="15" t="s">
        <v>28</v>
      </c>
      <c r="S360" s="28" t="s">
        <v>2631</v>
      </c>
      <c r="T360" s="12">
        <v>0</v>
      </c>
      <c r="U360" s="12"/>
      <c r="V360" s="17"/>
      <c r="W360" s="38"/>
      <c r="X360" s="12"/>
      <c r="Y360" s="17"/>
      <c r="Z360" s="67"/>
      <c r="AA360" s="66"/>
    </row>
    <row r="361" spans="1:27" s="58" customFormat="1" ht="52.5">
      <c r="A361" s="28" t="s">
        <v>736</v>
      </c>
      <c r="B361" s="41" t="s">
        <v>737</v>
      </c>
      <c r="C361" s="12">
        <v>360</v>
      </c>
      <c r="D361" s="118" t="s">
        <v>1818</v>
      </c>
      <c r="E361" s="15" t="s">
        <v>1819</v>
      </c>
      <c r="F361" s="12" t="s">
        <v>58</v>
      </c>
      <c r="G361" s="92" t="s">
        <v>3161</v>
      </c>
      <c r="H361" s="12" t="s">
        <v>164</v>
      </c>
      <c r="I361" s="119" t="s">
        <v>752</v>
      </c>
      <c r="J361" s="12">
        <v>2017</v>
      </c>
      <c r="K361" s="92">
        <v>2024</v>
      </c>
      <c r="L361" s="91" t="s">
        <v>739</v>
      </c>
      <c r="M361" s="15" t="s">
        <v>1820</v>
      </c>
      <c r="N361" s="15" t="s">
        <v>740</v>
      </c>
      <c r="O361" s="15" t="s">
        <v>604</v>
      </c>
      <c r="P361" s="92" t="s">
        <v>57</v>
      </c>
      <c r="Q361" s="15" t="s">
        <v>925</v>
      </c>
      <c r="R361" s="15" t="s">
        <v>27</v>
      </c>
      <c r="S361" s="28" t="s">
        <v>2631</v>
      </c>
      <c r="T361" s="12">
        <v>0</v>
      </c>
      <c r="U361" s="12"/>
      <c r="V361" s="17"/>
      <c r="W361" s="38"/>
      <c r="X361" s="12"/>
      <c r="Y361" s="17"/>
      <c r="Z361" s="67"/>
      <c r="AA361" s="66"/>
    </row>
    <row r="362" spans="1:27" s="58" customFormat="1" ht="35">
      <c r="A362" s="28" t="s">
        <v>736</v>
      </c>
      <c r="B362" s="41" t="s">
        <v>737</v>
      </c>
      <c r="C362" s="12">
        <v>361</v>
      </c>
      <c r="D362" s="43" t="s">
        <v>1326</v>
      </c>
      <c r="E362" s="16" t="s">
        <v>1324</v>
      </c>
      <c r="F362" s="13" t="s">
        <v>58</v>
      </c>
      <c r="G362" s="92" t="s">
        <v>3161</v>
      </c>
      <c r="H362" s="13" t="s">
        <v>1132</v>
      </c>
      <c r="I362" s="53" t="s">
        <v>738</v>
      </c>
      <c r="J362" s="28">
        <v>2018</v>
      </c>
      <c r="K362" s="73">
        <v>2020</v>
      </c>
      <c r="L362" s="53" t="s">
        <v>739</v>
      </c>
      <c r="M362" s="16" t="s">
        <v>2252</v>
      </c>
      <c r="N362" s="16" t="s">
        <v>740</v>
      </c>
      <c r="O362" s="48" t="s">
        <v>604</v>
      </c>
      <c r="P362" s="51" t="s">
        <v>538</v>
      </c>
      <c r="Q362" s="48" t="s">
        <v>925</v>
      </c>
      <c r="R362" s="48" t="s">
        <v>28</v>
      </c>
      <c r="S362" s="28" t="s">
        <v>2631</v>
      </c>
      <c r="T362" s="12">
        <v>0</v>
      </c>
      <c r="U362" s="12"/>
      <c r="V362" s="17"/>
      <c r="W362" s="38"/>
      <c r="X362" s="12"/>
      <c r="Y362" s="17"/>
      <c r="Z362" s="56"/>
      <c r="AA362" s="66"/>
    </row>
    <row r="363" spans="1:27" s="58" customFormat="1" ht="70">
      <c r="A363" s="28" t="s">
        <v>736</v>
      </c>
      <c r="B363" s="41" t="s">
        <v>737</v>
      </c>
      <c r="C363" s="12">
        <v>362</v>
      </c>
      <c r="D363" s="118" t="s">
        <v>1801</v>
      </c>
      <c r="E363" s="15" t="s">
        <v>1802</v>
      </c>
      <c r="F363" s="12" t="s">
        <v>58</v>
      </c>
      <c r="G363" s="92" t="s">
        <v>3161</v>
      </c>
      <c r="H363" s="12" t="s">
        <v>1132</v>
      </c>
      <c r="I363" s="119" t="s">
        <v>744</v>
      </c>
      <c r="J363" s="12">
        <v>2019</v>
      </c>
      <c r="K363" s="92">
        <v>2022</v>
      </c>
      <c r="L363" s="91" t="s">
        <v>739</v>
      </c>
      <c r="M363" s="15" t="s">
        <v>1820</v>
      </c>
      <c r="N363" s="15" t="s">
        <v>740</v>
      </c>
      <c r="O363" s="15" t="s">
        <v>604</v>
      </c>
      <c r="P363" s="92" t="s">
        <v>57</v>
      </c>
      <c r="Q363" s="15" t="s">
        <v>925</v>
      </c>
      <c r="R363" s="15" t="s">
        <v>28</v>
      </c>
      <c r="S363" s="28" t="s">
        <v>2631</v>
      </c>
      <c r="T363" s="12">
        <v>0</v>
      </c>
      <c r="U363" s="12"/>
      <c r="V363" s="17"/>
      <c r="W363" s="38"/>
      <c r="X363" s="12"/>
      <c r="Y363" s="17"/>
      <c r="Z363" s="67"/>
      <c r="AA363" s="83"/>
    </row>
    <row r="364" spans="1:27" s="58" customFormat="1" ht="70">
      <c r="A364" s="28" t="s">
        <v>736</v>
      </c>
      <c r="B364" s="41" t="s">
        <v>737</v>
      </c>
      <c r="C364" s="12">
        <v>363</v>
      </c>
      <c r="D364" s="118" t="s">
        <v>1821</v>
      </c>
      <c r="E364" s="15" t="s">
        <v>1822</v>
      </c>
      <c r="F364" s="12" t="s">
        <v>58</v>
      </c>
      <c r="G364" s="92" t="s">
        <v>3161</v>
      </c>
      <c r="H364" s="12" t="s">
        <v>164</v>
      </c>
      <c r="I364" s="119" t="s">
        <v>753</v>
      </c>
      <c r="J364" s="12">
        <v>2019</v>
      </c>
      <c r="K364" s="92">
        <v>2024</v>
      </c>
      <c r="L364" s="91" t="s">
        <v>739</v>
      </c>
      <c r="M364" s="15" t="s">
        <v>1820</v>
      </c>
      <c r="N364" s="15" t="s">
        <v>740</v>
      </c>
      <c r="O364" s="15" t="s">
        <v>604</v>
      </c>
      <c r="P364" s="92" t="s">
        <v>57</v>
      </c>
      <c r="Q364" s="15" t="s">
        <v>925</v>
      </c>
      <c r="R364" s="15" t="s">
        <v>27</v>
      </c>
      <c r="S364" s="28" t="s">
        <v>2631</v>
      </c>
      <c r="T364" s="12">
        <v>0</v>
      </c>
      <c r="U364" s="12"/>
      <c r="V364" s="17"/>
      <c r="W364" s="38"/>
      <c r="X364" s="12"/>
      <c r="Y364" s="17"/>
      <c r="Z364" s="67"/>
      <c r="AA364" s="83"/>
    </row>
    <row r="365" spans="1:27" s="58" customFormat="1" ht="87.5">
      <c r="A365" s="28" t="s">
        <v>736</v>
      </c>
      <c r="B365" s="41" t="s">
        <v>737</v>
      </c>
      <c r="C365" s="12">
        <v>364</v>
      </c>
      <c r="D365" s="118" t="s">
        <v>1803</v>
      </c>
      <c r="E365" s="15" t="s">
        <v>1804</v>
      </c>
      <c r="F365" s="12" t="s">
        <v>58</v>
      </c>
      <c r="G365" s="92" t="s">
        <v>3161</v>
      </c>
      <c r="H365" s="12" t="s">
        <v>1132</v>
      </c>
      <c r="I365" s="119" t="s">
        <v>745</v>
      </c>
      <c r="J365" s="12">
        <v>2020</v>
      </c>
      <c r="K365" s="92">
        <v>2023</v>
      </c>
      <c r="L365" s="91" t="s">
        <v>739</v>
      </c>
      <c r="M365" s="15" t="s">
        <v>1820</v>
      </c>
      <c r="N365" s="15" t="s">
        <v>740</v>
      </c>
      <c r="O365" s="15" t="s">
        <v>604</v>
      </c>
      <c r="P365" s="92" t="s">
        <v>57</v>
      </c>
      <c r="Q365" s="15" t="s">
        <v>925</v>
      </c>
      <c r="R365" s="15" t="s">
        <v>28</v>
      </c>
      <c r="S365" s="28" t="s">
        <v>2629</v>
      </c>
      <c r="T365" s="12">
        <v>1</v>
      </c>
      <c r="U365" s="12" t="s">
        <v>1781</v>
      </c>
      <c r="V365" s="17" t="s">
        <v>747</v>
      </c>
      <c r="W365" s="38" t="s">
        <v>746</v>
      </c>
      <c r="X365" s="12" t="s">
        <v>2970</v>
      </c>
      <c r="Y365" s="17" t="s">
        <v>739</v>
      </c>
      <c r="Z365" s="67"/>
      <c r="AA365" s="167"/>
    </row>
    <row r="366" spans="1:27" s="58" customFormat="1" ht="52.5">
      <c r="A366" s="28" t="s">
        <v>736</v>
      </c>
      <c r="B366" s="41" t="s">
        <v>737</v>
      </c>
      <c r="C366" s="12">
        <v>365</v>
      </c>
      <c r="D366" s="43" t="s">
        <v>1327</v>
      </c>
      <c r="E366" s="16" t="s">
        <v>1328</v>
      </c>
      <c r="F366" s="13" t="s">
        <v>58</v>
      </c>
      <c r="G366" s="92" t="s">
        <v>3161</v>
      </c>
      <c r="H366" s="13" t="s">
        <v>1132</v>
      </c>
      <c r="I366" s="53" t="s">
        <v>748</v>
      </c>
      <c r="J366" s="28">
        <v>2020</v>
      </c>
      <c r="K366" s="73">
        <v>2023</v>
      </c>
      <c r="L366" s="53" t="s">
        <v>739</v>
      </c>
      <c r="M366" s="16" t="s">
        <v>2252</v>
      </c>
      <c r="N366" s="16" t="s">
        <v>740</v>
      </c>
      <c r="O366" s="48" t="s">
        <v>604</v>
      </c>
      <c r="P366" s="51" t="s">
        <v>57</v>
      </c>
      <c r="Q366" s="48" t="s">
        <v>925</v>
      </c>
      <c r="R366" s="48" t="s">
        <v>28</v>
      </c>
      <c r="S366" s="28" t="s">
        <v>2631</v>
      </c>
      <c r="T366" s="12">
        <v>0</v>
      </c>
      <c r="U366" s="12"/>
      <c r="V366" s="17"/>
      <c r="W366" s="38"/>
      <c r="X366" s="12"/>
      <c r="Y366" s="17"/>
      <c r="Z366" s="56"/>
      <c r="AA366" s="66"/>
    </row>
    <row r="367" spans="1:27" s="58" customFormat="1" ht="70">
      <c r="A367" s="28" t="s">
        <v>736</v>
      </c>
      <c r="B367" s="41" t="s">
        <v>737</v>
      </c>
      <c r="C367" s="12">
        <v>366</v>
      </c>
      <c r="D367" s="118" t="s">
        <v>1823</v>
      </c>
      <c r="E367" s="15" t="s">
        <v>1824</v>
      </c>
      <c r="F367" s="12" t="s">
        <v>58</v>
      </c>
      <c r="G367" s="92" t="s">
        <v>3161</v>
      </c>
      <c r="H367" s="12" t="s">
        <v>164</v>
      </c>
      <c r="I367" s="119" t="s">
        <v>754</v>
      </c>
      <c r="J367" s="12">
        <v>2023</v>
      </c>
      <c r="K367" s="92">
        <v>2025</v>
      </c>
      <c r="L367" s="91" t="s">
        <v>739</v>
      </c>
      <c r="M367" s="15" t="s">
        <v>1820</v>
      </c>
      <c r="N367" s="15" t="s">
        <v>740</v>
      </c>
      <c r="O367" s="15" t="s">
        <v>604</v>
      </c>
      <c r="P367" s="92" t="s">
        <v>57</v>
      </c>
      <c r="Q367" s="15" t="s">
        <v>925</v>
      </c>
      <c r="R367" s="15" t="s">
        <v>27</v>
      </c>
      <c r="S367" s="28" t="s">
        <v>2631</v>
      </c>
      <c r="T367" s="12">
        <v>0</v>
      </c>
      <c r="U367" s="12"/>
      <c r="V367" s="17"/>
      <c r="W367" s="38"/>
      <c r="X367" s="12"/>
      <c r="Y367" s="17"/>
      <c r="Z367" s="67"/>
      <c r="AA367" s="66"/>
    </row>
    <row r="368" spans="1:27" s="58" customFormat="1" ht="70">
      <c r="A368" s="28" t="s">
        <v>736</v>
      </c>
      <c r="B368" s="41" t="s">
        <v>737</v>
      </c>
      <c r="C368" s="12">
        <v>367</v>
      </c>
      <c r="D368" s="118" t="s">
        <v>1825</v>
      </c>
      <c r="E368" s="15" t="s">
        <v>1826</v>
      </c>
      <c r="F368" s="12" t="s">
        <v>58</v>
      </c>
      <c r="G368" s="92" t="s">
        <v>3161</v>
      </c>
      <c r="H368" s="12" t="s">
        <v>164</v>
      </c>
      <c r="I368" s="119" t="s">
        <v>755</v>
      </c>
      <c r="J368" s="12">
        <v>2023</v>
      </c>
      <c r="K368" s="92">
        <v>2027</v>
      </c>
      <c r="L368" s="91" t="s">
        <v>739</v>
      </c>
      <c r="M368" s="15" t="s">
        <v>1820</v>
      </c>
      <c r="N368" s="15" t="s">
        <v>740</v>
      </c>
      <c r="O368" s="15" t="s">
        <v>604</v>
      </c>
      <c r="P368" s="92" t="s">
        <v>57</v>
      </c>
      <c r="Q368" s="15" t="s">
        <v>925</v>
      </c>
      <c r="R368" s="15" t="s">
        <v>27</v>
      </c>
      <c r="S368" s="28" t="s">
        <v>2631</v>
      </c>
      <c r="T368" s="12">
        <v>0</v>
      </c>
      <c r="U368" s="12"/>
      <c r="V368" s="17"/>
      <c r="W368" s="38"/>
      <c r="X368" s="12"/>
      <c r="Y368" s="17"/>
      <c r="Z368" s="67"/>
      <c r="AA368" s="66"/>
    </row>
    <row r="369" spans="1:27" s="58" customFormat="1" ht="52.5">
      <c r="A369" s="28" t="s">
        <v>736</v>
      </c>
      <c r="B369" s="71" t="s">
        <v>737</v>
      </c>
      <c r="C369" s="12">
        <v>368</v>
      </c>
      <c r="D369" s="72" t="s">
        <v>1833</v>
      </c>
      <c r="E369" s="48" t="s">
        <v>1834</v>
      </c>
      <c r="F369" s="28" t="s">
        <v>58</v>
      </c>
      <c r="G369" s="73" t="s">
        <v>3181</v>
      </c>
      <c r="H369" s="28" t="s">
        <v>1132</v>
      </c>
      <c r="I369" s="74" t="s">
        <v>1835</v>
      </c>
      <c r="J369" s="28">
        <v>2018</v>
      </c>
      <c r="K369" s="73">
        <v>2022</v>
      </c>
      <c r="L369" s="75" t="s">
        <v>1836</v>
      </c>
      <c r="M369" s="48" t="s">
        <v>2256</v>
      </c>
      <c r="N369" s="48"/>
      <c r="O369" s="48" t="s">
        <v>604</v>
      </c>
      <c r="P369" s="73" t="s">
        <v>538</v>
      </c>
      <c r="Q369" s="48" t="s">
        <v>925</v>
      </c>
      <c r="R369" s="48" t="s">
        <v>28</v>
      </c>
      <c r="S369" s="28" t="s">
        <v>2631</v>
      </c>
      <c r="T369" s="12">
        <v>0</v>
      </c>
      <c r="U369" s="12"/>
      <c r="V369" s="17"/>
      <c r="W369" s="38"/>
      <c r="X369" s="12"/>
      <c r="Y369" s="17"/>
      <c r="Z369" s="57"/>
      <c r="AA369" s="66"/>
    </row>
    <row r="370" spans="1:27" s="58" customFormat="1" ht="70">
      <c r="A370" s="28" t="s">
        <v>736</v>
      </c>
      <c r="B370" s="71" t="s">
        <v>1736</v>
      </c>
      <c r="C370" s="12">
        <v>369</v>
      </c>
      <c r="D370" s="72" t="s">
        <v>1789</v>
      </c>
      <c r="E370" s="48" t="s">
        <v>1790</v>
      </c>
      <c r="F370" s="28" t="s">
        <v>770</v>
      </c>
      <c r="G370" s="73" t="s">
        <v>1730</v>
      </c>
      <c r="H370" s="28" t="s">
        <v>164</v>
      </c>
      <c r="I370" s="74" t="s">
        <v>1791</v>
      </c>
      <c r="J370" s="28">
        <v>2023</v>
      </c>
      <c r="K370" s="73">
        <v>2026</v>
      </c>
      <c r="L370" s="75" t="s">
        <v>264</v>
      </c>
      <c r="M370" s="48" t="s">
        <v>2257</v>
      </c>
      <c r="N370" s="48" t="s">
        <v>1732</v>
      </c>
      <c r="O370" s="48" t="s">
        <v>604</v>
      </c>
      <c r="P370" s="73" t="s">
        <v>57</v>
      </c>
      <c r="Q370" s="48" t="s">
        <v>906</v>
      </c>
      <c r="R370" s="48" t="s">
        <v>1712</v>
      </c>
      <c r="S370" s="28" t="s">
        <v>2631</v>
      </c>
      <c r="T370" s="12">
        <v>0</v>
      </c>
      <c r="U370" s="12"/>
      <c r="V370" s="17"/>
      <c r="W370" s="38"/>
      <c r="X370" s="12"/>
      <c r="Y370" s="17"/>
      <c r="Z370" s="57"/>
      <c r="AA370" s="66" t="s">
        <v>2793</v>
      </c>
    </row>
    <row r="371" spans="1:27" s="58" customFormat="1" ht="70">
      <c r="A371" s="28" t="s">
        <v>736</v>
      </c>
      <c r="B371" s="71" t="s">
        <v>1736</v>
      </c>
      <c r="C371" s="12">
        <v>370</v>
      </c>
      <c r="D371" s="72" t="s">
        <v>1792</v>
      </c>
      <c r="E371" s="48" t="s">
        <v>1793</v>
      </c>
      <c r="F371" s="28" t="s">
        <v>58</v>
      </c>
      <c r="G371" s="73" t="s">
        <v>259</v>
      </c>
      <c r="H371" s="28" t="s">
        <v>389</v>
      </c>
      <c r="I371" s="74" t="s">
        <v>1794</v>
      </c>
      <c r="J371" s="28">
        <v>2025</v>
      </c>
      <c r="K371" s="73">
        <v>2027</v>
      </c>
      <c r="L371" s="75" t="s">
        <v>1778</v>
      </c>
      <c r="M371" s="48"/>
      <c r="N371" s="48" t="s">
        <v>339</v>
      </c>
      <c r="O371" s="48" t="s">
        <v>604</v>
      </c>
      <c r="P371" s="73" t="s">
        <v>57</v>
      </c>
      <c r="Q371" s="48" t="s">
        <v>906</v>
      </c>
      <c r="R371" s="48" t="s">
        <v>1712</v>
      </c>
      <c r="S371" s="28" t="s">
        <v>2631</v>
      </c>
      <c r="T371" s="12">
        <v>0</v>
      </c>
      <c r="U371" s="12"/>
      <c r="V371" s="17"/>
      <c r="W371" s="38"/>
      <c r="X371" s="12"/>
      <c r="Y371" s="17"/>
      <c r="Z371" s="57"/>
      <c r="AA371" s="66"/>
    </row>
    <row r="372" spans="1:27" s="58" customFormat="1" ht="105">
      <c r="A372" s="28" t="s">
        <v>736</v>
      </c>
      <c r="B372" s="71" t="s">
        <v>1736</v>
      </c>
      <c r="C372" s="12">
        <v>371</v>
      </c>
      <c r="D372" s="72" t="s">
        <v>1786</v>
      </c>
      <c r="E372" s="48" t="s">
        <v>1787</v>
      </c>
      <c r="F372" s="28" t="s">
        <v>58</v>
      </c>
      <c r="G372" s="73" t="s">
        <v>1767</v>
      </c>
      <c r="H372" s="28" t="s">
        <v>164</v>
      </c>
      <c r="I372" s="74" t="s">
        <v>1788</v>
      </c>
      <c r="J372" s="28">
        <v>2024</v>
      </c>
      <c r="K372" s="73">
        <v>2026</v>
      </c>
      <c r="L372" s="187" t="s">
        <v>3117</v>
      </c>
      <c r="M372" s="48" t="s">
        <v>2257</v>
      </c>
      <c r="N372" s="163" t="s">
        <v>3136</v>
      </c>
      <c r="O372" s="48" t="s">
        <v>604</v>
      </c>
      <c r="P372" s="73" t="s">
        <v>57</v>
      </c>
      <c r="Q372" s="48" t="s">
        <v>858</v>
      </c>
      <c r="R372" s="48" t="s">
        <v>37</v>
      </c>
      <c r="S372" s="28" t="s">
        <v>2631</v>
      </c>
      <c r="T372" s="12">
        <v>0</v>
      </c>
      <c r="U372" s="12"/>
      <c r="V372" s="17"/>
      <c r="W372" s="38"/>
      <c r="X372" s="12"/>
      <c r="Y372" s="17"/>
      <c r="Z372" s="57"/>
      <c r="AA372" s="66"/>
    </row>
    <row r="373" spans="1:27" s="58" customFormat="1" ht="175">
      <c r="A373" s="28" t="s">
        <v>736</v>
      </c>
      <c r="B373" s="71" t="s">
        <v>1736</v>
      </c>
      <c r="C373" s="12">
        <v>372</v>
      </c>
      <c r="D373" s="72" t="s">
        <v>1771</v>
      </c>
      <c r="E373" s="48" t="s">
        <v>1772</v>
      </c>
      <c r="F373" s="28" t="s">
        <v>58</v>
      </c>
      <c r="G373" s="73" t="s">
        <v>259</v>
      </c>
      <c r="H373" s="28" t="s">
        <v>1132</v>
      </c>
      <c r="I373" s="75" t="s">
        <v>1773</v>
      </c>
      <c r="J373" s="28">
        <v>2020</v>
      </c>
      <c r="K373" s="73">
        <v>2023</v>
      </c>
      <c r="L373" s="75" t="s">
        <v>2434</v>
      </c>
      <c r="M373" s="48" t="s">
        <v>2257</v>
      </c>
      <c r="N373" s="48" t="s">
        <v>339</v>
      </c>
      <c r="O373" s="48" t="s">
        <v>604</v>
      </c>
      <c r="P373" s="73" t="s">
        <v>57</v>
      </c>
      <c r="Q373" s="48" t="s">
        <v>906</v>
      </c>
      <c r="R373" s="48" t="s">
        <v>1712</v>
      </c>
      <c r="S373" s="28" t="s">
        <v>2629</v>
      </c>
      <c r="T373" s="12">
        <v>3</v>
      </c>
      <c r="U373" s="15" t="s">
        <v>3057</v>
      </c>
      <c r="V373" s="30" t="s">
        <v>3058</v>
      </c>
      <c r="W373" s="38" t="s">
        <v>1774</v>
      </c>
      <c r="X373" s="15" t="s">
        <v>3055</v>
      </c>
      <c r="Y373" s="30" t="s">
        <v>3056</v>
      </c>
      <c r="Z373" s="57"/>
      <c r="AA373" s="66" t="s">
        <v>2805</v>
      </c>
    </row>
    <row r="374" spans="1:27" s="58" customFormat="1" ht="122.5">
      <c r="A374" s="28" t="s">
        <v>736</v>
      </c>
      <c r="B374" s="71" t="s">
        <v>1736</v>
      </c>
      <c r="C374" s="12">
        <v>373</v>
      </c>
      <c r="D374" s="72" t="s">
        <v>1783</v>
      </c>
      <c r="E374" s="48" t="s">
        <v>1784</v>
      </c>
      <c r="F374" s="28" t="s">
        <v>58</v>
      </c>
      <c r="G374" s="73" t="s">
        <v>259</v>
      </c>
      <c r="H374" s="28" t="s">
        <v>164</v>
      </c>
      <c r="I374" s="75" t="s">
        <v>1785</v>
      </c>
      <c r="J374" s="28">
        <v>2023</v>
      </c>
      <c r="K374" s="73">
        <v>2025</v>
      </c>
      <c r="L374" s="75" t="s">
        <v>2434</v>
      </c>
      <c r="M374" s="48" t="s">
        <v>2257</v>
      </c>
      <c r="N374" s="48" t="s">
        <v>339</v>
      </c>
      <c r="O374" s="48" t="s">
        <v>604</v>
      </c>
      <c r="P374" s="73" t="s">
        <v>57</v>
      </c>
      <c r="Q374" s="48" t="s">
        <v>906</v>
      </c>
      <c r="R374" s="48" t="s">
        <v>1712</v>
      </c>
      <c r="S374" s="28" t="s">
        <v>2631</v>
      </c>
      <c r="T374" s="12">
        <v>0</v>
      </c>
      <c r="U374" s="12"/>
      <c r="V374" s="17"/>
      <c r="W374" s="38"/>
      <c r="X374" s="12"/>
      <c r="Y374" s="17"/>
      <c r="Z374" s="57"/>
      <c r="AA374" s="66" t="s">
        <v>2805</v>
      </c>
    </row>
    <row r="375" spans="1:27" s="58" customFormat="1" ht="122.5">
      <c r="A375" s="28" t="s">
        <v>736</v>
      </c>
      <c r="B375" s="71" t="s">
        <v>1736</v>
      </c>
      <c r="C375" s="12">
        <v>374</v>
      </c>
      <c r="D375" s="72" t="s">
        <v>1775</v>
      </c>
      <c r="E375" s="48" t="s">
        <v>1776</v>
      </c>
      <c r="F375" s="28" t="s">
        <v>58</v>
      </c>
      <c r="G375" s="73" t="s">
        <v>1767</v>
      </c>
      <c r="H375" s="28" t="s">
        <v>164</v>
      </c>
      <c r="I375" s="75" t="s">
        <v>1777</v>
      </c>
      <c r="J375" s="28">
        <v>2023</v>
      </c>
      <c r="K375" s="73">
        <v>2025</v>
      </c>
      <c r="L375" s="75" t="s">
        <v>2432</v>
      </c>
      <c r="M375" s="48" t="s">
        <v>2257</v>
      </c>
      <c r="N375" s="48"/>
      <c r="O375" s="48" t="s">
        <v>604</v>
      </c>
      <c r="P375" s="73" t="s">
        <v>57</v>
      </c>
      <c r="Q375" s="48" t="s">
        <v>906</v>
      </c>
      <c r="R375" s="48" t="s">
        <v>1712</v>
      </c>
      <c r="S375" s="28" t="s">
        <v>2629</v>
      </c>
      <c r="T375" s="12">
        <v>1</v>
      </c>
      <c r="U375" s="12" t="s">
        <v>1781</v>
      </c>
      <c r="V375" s="17" t="s">
        <v>1779</v>
      </c>
      <c r="W375" s="38" t="s">
        <v>1780</v>
      </c>
      <c r="X375" s="12" t="s">
        <v>1782</v>
      </c>
      <c r="Y375" s="17" t="s">
        <v>1764</v>
      </c>
      <c r="Z375" s="57"/>
      <c r="AA375" s="66"/>
    </row>
    <row r="376" spans="1:27" s="58" customFormat="1" ht="210">
      <c r="A376" s="28" t="s">
        <v>736</v>
      </c>
      <c r="B376" s="71" t="s">
        <v>1736</v>
      </c>
      <c r="C376" s="12">
        <v>375</v>
      </c>
      <c r="D376" s="72" t="s">
        <v>1765</v>
      </c>
      <c r="E376" s="48" t="s">
        <v>1766</v>
      </c>
      <c r="F376" s="28" t="s">
        <v>58</v>
      </c>
      <c r="G376" s="73" t="s">
        <v>1767</v>
      </c>
      <c r="H376" s="28" t="s">
        <v>1132</v>
      </c>
      <c r="I376" s="75" t="s">
        <v>1768</v>
      </c>
      <c r="J376" s="28">
        <v>2019</v>
      </c>
      <c r="K376" s="73">
        <v>2022</v>
      </c>
      <c r="L376" s="75" t="s">
        <v>2433</v>
      </c>
      <c r="M376" s="48" t="s">
        <v>2257</v>
      </c>
      <c r="N376" s="48"/>
      <c r="O376" s="48" t="s">
        <v>604</v>
      </c>
      <c r="P376" s="73" t="s">
        <v>57</v>
      </c>
      <c r="Q376" s="48" t="s">
        <v>906</v>
      </c>
      <c r="R376" s="48" t="s">
        <v>1712</v>
      </c>
      <c r="S376" s="28" t="s">
        <v>2629</v>
      </c>
      <c r="T376" s="12">
        <v>4</v>
      </c>
      <c r="U376" s="15" t="s">
        <v>3054</v>
      </c>
      <c r="V376" s="17" t="s">
        <v>1769</v>
      </c>
      <c r="W376" s="38" t="s">
        <v>1770</v>
      </c>
      <c r="X376" s="15" t="s">
        <v>3047</v>
      </c>
      <c r="Y376" s="30" t="s">
        <v>3053</v>
      </c>
      <c r="Z376" s="57"/>
      <c r="AA376" s="66"/>
    </row>
    <row r="377" spans="1:27" s="58" customFormat="1" ht="70">
      <c r="A377" s="28" t="s">
        <v>736</v>
      </c>
      <c r="B377" s="71" t="s">
        <v>1736</v>
      </c>
      <c r="C377" s="12">
        <v>376</v>
      </c>
      <c r="D377" s="72" t="s">
        <v>1758</v>
      </c>
      <c r="E377" s="48" t="s">
        <v>1759</v>
      </c>
      <c r="F377" s="28" t="s">
        <v>58</v>
      </c>
      <c r="G377" s="73" t="s">
        <v>340</v>
      </c>
      <c r="H377" s="28" t="s">
        <v>1132</v>
      </c>
      <c r="I377" s="75" t="s">
        <v>1760</v>
      </c>
      <c r="J377" s="28">
        <v>2018</v>
      </c>
      <c r="K377" s="73">
        <v>2020</v>
      </c>
      <c r="L377" s="75" t="s">
        <v>2431</v>
      </c>
      <c r="M377" s="48" t="s">
        <v>2257</v>
      </c>
      <c r="N377" s="48"/>
      <c r="O377" s="48" t="s">
        <v>604</v>
      </c>
      <c r="P377" s="73" t="s">
        <v>57</v>
      </c>
      <c r="Q377" s="48" t="s">
        <v>906</v>
      </c>
      <c r="R377" s="48" t="s">
        <v>1712</v>
      </c>
      <c r="S377" s="28" t="s">
        <v>2629</v>
      </c>
      <c r="T377" s="12">
        <v>1</v>
      </c>
      <c r="U377" s="12" t="s">
        <v>1762</v>
      </c>
      <c r="V377" s="17" t="s">
        <v>3045</v>
      </c>
      <c r="W377" s="38" t="s">
        <v>1761</v>
      </c>
      <c r="X377" s="12" t="s">
        <v>1763</v>
      </c>
      <c r="Y377" s="17" t="s">
        <v>1764</v>
      </c>
      <c r="Z377" s="57"/>
      <c r="AA377" s="66"/>
    </row>
    <row r="378" spans="1:27" s="58" customFormat="1" ht="140">
      <c r="A378" s="28" t="s">
        <v>736</v>
      </c>
      <c r="B378" s="71" t="s">
        <v>1736</v>
      </c>
      <c r="C378" s="12">
        <v>377</v>
      </c>
      <c r="D378" s="72" t="s">
        <v>1753</v>
      </c>
      <c r="E378" s="48" t="s">
        <v>1754</v>
      </c>
      <c r="F378" s="28" t="s">
        <v>58</v>
      </c>
      <c r="G378" s="73" t="s">
        <v>259</v>
      </c>
      <c r="H378" s="28" t="s">
        <v>1132</v>
      </c>
      <c r="I378" s="75" t="s">
        <v>1755</v>
      </c>
      <c r="J378" s="48">
        <v>2020</v>
      </c>
      <c r="K378" s="75">
        <v>2021</v>
      </c>
      <c r="L378" s="75" t="s">
        <v>2431</v>
      </c>
      <c r="M378" s="48" t="s">
        <v>2257</v>
      </c>
      <c r="N378" s="48" t="s">
        <v>339</v>
      </c>
      <c r="O378" s="48" t="s">
        <v>604</v>
      </c>
      <c r="P378" s="73" t="s">
        <v>57</v>
      </c>
      <c r="Q378" s="48" t="s">
        <v>906</v>
      </c>
      <c r="R378" s="48" t="s">
        <v>1712</v>
      </c>
      <c r="S378" s="28" t="s">
        <v>2629</v>
      </c>
      <c r="T378" s="12">
        <v>2</v>
      </c>
      <c r="U378" s="12" t="s">
        <v>1757</v>
      </c>
      <c r="V378" s="30" t="s">
        <v>3044</v>
      </c>
      <c r="W378" s="38" t="s">
        <v>1756</v>
      </c>
      <c r="X378" s="15" t="s">
        <v>3049</v>
      </c>
      <c r="Y378" s="30" t="s">
        <v>3052</v>
      </c>
      <c r="Z378" s="57"/>
      <c r="AA378" s="66"/>
    </row>
    <row r="379" spans="1:27" s="58" customFormat="1" ht="105">
      <c r="A379" s="28" t="s">
        <v>736</v>
      </c>
      <c r="B379" s="71" t="s">
        <v>1736</v>
      </c>
      <c r="C379" s="12">
        <v>378</v>
      </c>
      <c r="D379" s="72" t="s">
        <v>1743</v>
      </c>
      <c r="E379" s="48" t="s">
        <v>1744</v>
      </c>
      <c r="F379" s="28" t="s">
        <v>58</v>
      </c>
      <c r="G379" s="73" t="s">
        <v>259</v>
      </c>
      <c r="H379" s="28" t="s">
        <v>1132</v>
      </c>
      <c r="I379" s="75" t="s">
        <v>1745</v>
      </c>
      <c r="J379" s="28">
        <v>2012</v>
      </c>
      <c r="K379" s="73">
        <v>2014</v>
      </c>
      <c r="L379" s="75" t="s">
        <v>2435</v>
      </c>
      <c r="M379" s="48" t="s">
        <v>2260</v>
      </c>
      <c r="N379" s="48" t="s">
        <v>339</v>
      </c>
      <c r="O379" s="48" t="s">
        <v>604</v>
      </c>
      <c r="P379" s="73" t="s">
        <v>57</v>
      </c>
      <c r="Q379" s="48" t="s">
        <v>906</v>
      </c>
      <c r="R379" s="48" t="s">
        <v>1712</v>
      </c>
      <c r="S379" s="28" t="s">
        <v>2629</v>
      </c>
      <c r="T379" s="12">
        <v>3</v>
      </c>
      <c r="U379" s="12" t="s">
        <v>1747</v>
      </c>
      <c r="V379" s="30" t="s">
        <v>3043</v>
      </c>
      <c r="W379" s="38" t="s">
        <v>1746</v>
      </c>
      <c r="X379" s="15" t="s">
        <v>3048</v>
      </c>
      <c r="Y379" s="30" t="s">
        <v>3050</v>
      </c>
      <c r="Z379" s="57"/>
      <c r="AA379" s="66"/>
    </row>
    <row r="380" spans="1:27" s="58" customFormat="1" ht="210">
      <c r="A380" s="28" t="s">
        <v>736</v>
      </c>
      <c r="B380" s="71" t="s">
        <v>1736</v>
      </c>
      <c r="C380" s="12">
        <v>379</v>
      </c>
      <c r="D380" s="72" t="s">
        <v>1748</v>
      </c>
      <c r="E380" s="48" t="s">
        <v>1749</v>
      </c>
      <c r="F380" s="28" t="s">
        <v>58</v>
      </c>
      <c r="G380" s="73" t="s">
        <v>340</v>
      </c>
      <c r="H380" s="28" t="s">
        <v>1132</v>
      </c>
      <c r="I380" s="75" t="s">
        <v>1750</v>
      </c>
      <c r="J380" s="28">
        <v>2014</v>
      </c>
      <c r="K380" s="73">
        <v>2016</v>
      </c>
      <c r="L380" s="75" t="s">
        <v>2435</v>
      </c>
      <c r="M380" s="48" t="s">
        <v>2260</v>
      </c>
      <c r="N380" s="48" t="s">
        <v>1707</v>
      </c>
      <c r="O380" s="48" t="s">
        <v>604</v>
      </c>
      <c r="P380" s="73" t="s">
        <v>57</v>
      </c>
      <c r="Q380" s="48" t="s">
        <v>906</v>
      </c>
      <c r="R380" s="48" t="s">
        <v>1712</v>
      </c>
      <c r="S380" s="28" t="s">
        <v>2629</v>
      </c>
      <c r="T380" s="12">
        <v>4</v>
      </c>
      <c r="U380" s="12" t="s">
        <v>1752</v>
      </c>
      <c r="V380" s="30" t="s">
        <v>3046</v>
      </c>
      <c r="W380" s="38" t="s">
        <v>1751</v>
      </c>
      <c r="X380" s="15" t="s">
        <v>3047</v>
      </c>
      <c r="Y380" s="30" t="s">
        <v>3051</v>
      </c>
      <c r="Z380" s="57"/>
      <c r="AA380" s="166"/>
    </row>
    <row r="381" spans="1:27" s="58" customFormat="1" ht="105">
      <c r="A381" s="28" t="s">
        <v>736</v>
      </c>
      <c r="B381" s="71" t="s">
        <v>1701</v>
      </c>
      <c r="C381" s="12">
        <v>380</v>
      </c>
      <c r="D381" s="72" t="s">
        <v>1715</v>
      </c>
      <c r="E381" s="48" t="s">
        <v>1716</v>
      </c>
      <c r="F381" s="28" t="s">
        <v>58</v>
      </c>
      <c r="G381" s="73" t="s">
        <v>340</v>
      </c>
      <c r="H381" s="28" t="s">
        <v>1132</v>
      </c>
      <c r="I381" s="74" t="s">
        <v>1717</v>
      </c>
      <c r="J381" s="28">
        <v>2019</v>
      </c>
      <c r="K381" s="73">
        <v>2022</v>
      </c>
      <c r="L381" s="75" t="s">
        <v>1718</v>
      </c>
      <c r="M381" s="48" t="s">
        <v>2259</v>
      </c>
      <c r="N381" s="28"/>
      <c r="O381" s="48" t="s">
        <v>604</v>
      </c>
      <c r="P381" s="73" t="s">
        <v>57</v>
      </c>
      <c r="Q381" s="48" t="s">
        <v>906</v>
      </c>
      <c r="R381" s="48" t="s">
        <v>1712</v>
      </c>
      <c r="S381" s="28" t="s">
        <v>2629</v>
      </c>
      <c r="T381" s="12">
        <v>1</v>
      </c>
      <c r="U381" s="12" t="s">
        <v>2964</v>
      </c>
      <c r="V381" s="17" t="s">
        <v>1719</v>
      </c>
      <c r="W381" s="38" t="s">
        <v>1720</v>
      </c>
      <c r="X381" s="12" t="s">
        <v>1595</v>
      </c>
      <c r="Y381" s="17" t="s">
        <v>2307</v>
      </c>
      <c r="Z381" s="57"/>
      <c r="AA381" s="66"/>
    </row>
    <row r="382" spans="1:27" s="58" customFormat="1" ht="192.5">
      <c r="A382" s="28" t="s">
        <v>736</v>
      </c>
      <c r="B382" s="71" t="s">
        <v>1701</v>
      </c>
      <c r="C382" s="12">
        <v>381</v>
      </c>
      <c r="D382" s="72" t="s">
        <v>1708</v>
      </c>
      <c r="E382" s="48" t="s">
        <v>1709</v>
      </c>
      <c r="F382" s="28" t="s">
        <v>58</v>
      </c>
      <c r="G382" s="73" t="s">
        <v>259</v>
      </c>
      <c r="H382" s="28" t="s">
        <v>1132</v>
      </c>
      <c r="I382" s="74" t="s">
        <v>1710</v>
      </c>
      <c r="J382" s="28">
        <v>2016</v>
      </c>
      <c r="K382" s="73">
        <v>2018</v>
      </c>
      <c r="L382" s="75" t="s">
        <v>1711</v>
      </c>
      <c r="M382" s="48" t="s">
        <v>2260</v>
      </c>
      <c r="N382" s="48" t="s">
        <v>3126</v>
      </c>
      <c r="O382" s="48" t="s">
        <v>604</v>
      </c>
      <c r="P382" s="73" t="s">
        <v>57</v>
      </c>
      <c r="Q382" s="48" t="s">
        <v>906</v>
      </c>
      <c r="R382" s="48" t="s">
        <v>1712</v>
      </c>
      <c r="S382" s="28" t="s">
        <v>2629</v>
      </c>
      <c r="T382" s="12">
        <v>3</v>
      </c>
      <c r="U382" s="15" t="s">
        <v>2978</v>
      </c>
      <c r="V382" s="30" t="s">
        <v>3021</v>
      </c>
      <c r="W382" s="38" t="s">
        <v>1713</v>
      </c>
      <c r="X382" s="12" t="s">
        <v>1714</v>
      </c>
      <c r="Y382" s="17" t="s">
        <v>2308</v>
      </c>
      <c r="Z382" s="57"/>
      <c r="AA382" s="66"/>
    </row>
    <row r="383" spans="1:27" s="78" customFormat="1" ht="70">
      <c r="A383" s="28" t="s">
        <v>736</v>
      </c>
      <c r="B383" s="71" t="s">
        <v>1701</v>
      </c>
      <c r="C383" s="12">
        <v>382</v>
      </c>
      <c r="D383" s="72" t="s">
        <v>1728</v>
      </c>
      <c r="E383" s="48" t="s">
        <v>1729</v>
      </c>
      <c r="F383" s="28" t="s">
        <v>770</v>
      </c>
      <c r="G383" s="73" t="s">
        <v>1730</v>
      </c>
      <c r="H383" s="28" t="s">
        <v>1132</v>
      </c>
      <c r="I383" s="74" t="s">
        <v>1731</v>
      </c>
      <c r="J383" s="28">
        <v>2020</v>
      </c>
      <c r="K383" s="73">
        <v>2024</v>
      </c>
      <c r="L383" s="75" t="s">
        <v>1725</v>
      </c>
      <c r="M383" s="48"/>
      <c r="N383" s="48" t="s">
        <v>1732</v>
      </c>
      <c r="O383" s="48" t="s">
        <v>604</v>
      </c>
      <c r="P383" s="73" t="s">
        <v>57</v>
      </c>
      <c r="Q383" s="48" t="s">
        <v>906</v>
      </c>
      <c r="R383" s="48" t="s">
        <v>1712</v>
      </c>
      <c r="S383" s="28" t="s">
        <v>2631</v>
      </c>
      <c r="T383" s="12">
        <v>0</v>
      </c>
      <c r="U383" s="12"/>
      <c r="V383" s="17"/>
      <c r="W383" s="38"/>
      <c r="X383" s="12"/>
      <c r="Y383" s="17"/>
      <c r="Z383" s="57"/>
      <c r="AA383" s="66"/>
    </row>
    <row r="384" spans="1:27" s="78" customFormat="1" ht="70">
      <c r="A384" s="28" t="s">
        <v>736</v>
      </c>
      <c r="B384" s="71" t="s">
        <v>1736</v>
      </c>
      <c r="C384" s="12">
        <v>383</v>
      </c>
      <c r="D384" s="148" t="s">
        <v>1740</v>
      </c>
      <c r="E384" s="48" t="s">
        <v>1741</v>
      </c>
      <c r="F384" s="28" t="s">
        <v>770</v>
      </c>
      <c r="G384" s="73" t="s">
        <v>1730</v>
      </c>
      <c r="H384" s="28" t="s">
        <v>389</v>
      </c>
      <c r="I384" s="153" t="s">
        <v>1742</v>
      </c>
      <c r="J384" s="28">
        <v>2024</v>
      </c>
      <c r="K384" s="71">
        <v>2027</v>
      </c>
      <c r="L384" s="75" t="s">
        <v>1725</v>
      </c>
      <c r="M384" s="48" t="s">
        <v>2258</v>
      </c>
      <c r="N384" s="48" t="s">
        <v>3132</v>
      </c>
      <c r="O384" s="48" t="s">
        <v>604</v>
      </c>
      <c r="P384" s="73" t="s">
        <v>57</v>
      </c>
      <c r="Q384" s="48" t="s">
        <v>906</v>
      </c>
      <c r="R384" s="48" t="s">
        <v>1712</v>
      </c>
      <c r="S384" s="28" t="s">
        <v>2631</v>
      </c>
      <c r="T384" s="12">
        <v>0</v>
      </c>
      <c r="U384" s="12"/>
      <c r="V384" s="17"/>
      <c r="W384" s="38"/>
      <c r="X384" s="12"/>
      <c r="Y384" s="17"/>
      <c r="Z384" s="57"/>
      <c r="AA384" s="66"/>
    </row>
    <row r="385" spans="1:27" s="78" customFormat="1" ht="70">
      <c r="A385" s="28" t="s">
        <v>736</v>
      </c>
      <c r="B385" s="71" t="s">
        <v>1701</v>
      </c>
      <c r="C385" s="12">
        <v>384</v>
      </c>
      <c r="D385" s="255" t="s">
        <v>1733</v>
      </c>
      <c r="E385" s="48" t="s">
        <v>1734</v>
      </c>
      <c r="F385" s="28" t="s">
        <v>58</v>
      </c>
      <c r="G385" s="149" t="s">
        <v>340</v>
      </c>
      <c r="H385" s="28" t="s">
        <v>164</v>
      </c>
      <c r="I385" s="338" t="s">
        <v>1735</v>
      </c>
      <c r="J385" s="28">
        <v>2023</v>
      </c>
      <c r="K385" s="149">
        <v>2025</v>
      </c>
      <c r="L385" s="187" t="s">
        <v>2761</v>
      </c>
      <c r="M385" s="48" t="s">
        <v>2258</v>
      </c>
      <c r="N385" s="28"/>
      <c r="O385" s="48" t="s">
        <v>604</v>
      </c>
      <c r="P385" s="73" t="s">
        <v>57</v>
      </c>
      <c r="Q385" s="48" t="s">
        <v>906</v>
      </c>
      <c r="R385" s="48" t="s">
        <v>1712</v>
      </c>
      <c r="S385" s="28" t="s">
        <v>2631</v>
      </c>
      <c r="T385" s="12">
        <v>0</v>
      </c>
      <c r="U385" s="12"/>
      <c r="V385" s="17"/>
      <c r="W385" s="38"/>
      <c r="X385" s="12"/>
      <c r="Y385" s="17"/>
      <c r="Z385" s="57"/>
      <c r="AA385" s="66"/>
    </row>
    <row r="386" spans="1:27" s="78" customFormat="1" ht="70">
      <c r="A386" s="28" t="s">
        <v>736</v>
      </c>
      <c r="B386" s="71" t="s">
        <v>1736</v>
      </c>
      <c r="C386" s="12">
        <v>385</v>
      </c>
      <c r="D386" s="255" t="s">
        <v>1737</v>
      </c>
      <c r="E386" s="48" t="s">
        <v>1738</v>
      </c>
      <c r="F386" s="28" t="s">
        <v>58</v>
      </c>
      <c r="G386" s="73" t="s">
        <v>259</v>
      </c>
      <c r="H386" s="28" t="s">
        <v>389</v>
      </c>
      <c r="I386" s="74" t="s">
        <v>1739</v>
      </c>
      <c r="J386" s="28">
        <v>2025</v>
      </c>
      <c r="K386" s="73">
        <v>2028</v>
      </c>
      <c r="L386" s="187" t="s">
        <v>2762</v>
      </c>
      <c r="M386" s="48"/>
      <c r="N386" s="48" t="s">
        <v>339</v>
      </c>
      <c r="O386" s="75" t="s">
        <v>604</v>
      </c>
      <c r="P386" s="73" t="s">
        <v>57</v>
      </c>
      <c r="Q386" s="48" t="s">
        <v>906</v>
      </c>
      <c r="R386" s="48" t="s">
        <v>1712</v>
      </c>
      <c r="S386" s="28" t="s">
        <v>2631</v>
      </c>
      <c r="T386" s="12">
        <v>0</v>
      </c>
      <c r="U386" s="12"/>
      <c r="V386" s="17"/>
      <c r="W386" s="38"/>
      <c r="X386" s="12"/>
      <c r="Y386" s="17"/>
      <c r="Z386" s="57"/>
      <c r="AA386" s="66"/>
    </row>
    <row r="387" spans="1:27" s="78" customFormat="1" ht="87.5">
      <c r="A387" s="28" t="s">
        <v>736</v>
      </c>
      <c r="B387" s="71" t="s">
        <v>1701</v>
      </c>
      <c r="C387" s="12">
        <v>386</v>
      </c>
      <c r="D387" s="255" t="s">
        <v>1721</v>
      </c>
      <c r="E387" s="48" t="s">
        <v>1722</v>
      </c>
      <c r="F387" s="28" t="s">
        <v>58</v>
      </c>
      <c r="G387" s="73" t="s">
        <v>259</v>
      </c>
      <c r="H387" s="28" t="s">
        <v>1132</v>
      </c>
      <c r="I387" s="74" t="s">
        <v>1723</v>
      </c>
      <c r="J387" s="28">
        <v>2019</v>
      </c>
      <c r="K387" s="73">
        <v>2022</v>
      </c>
      <c r="L387" s="75" t="s">
        <v>1724</v>
      </c>
      <c r="M387" s="48" t="s">
        <v>2258</v>
      </c>
      <c r="N387" s="48" t="s">
        <v>3126</v>
      </c>
      <c r="O387" s="75" t="s">
        <v>604</v>
      </c>
      <c r="P387" s="73" t="s">
        <v>57</v>
      </c>
      <c r="Q387" s="48" t="s">
        <v>906</v>
      </c>
      <c r="R387" s="48" t="s">
        <v>1712</v>
      </c>
      <c r="S387" s="28" t="s">
        <v>2629</v>
      </c>
      <c r="T387" s="12">
        <v>2</v>
      </c>
      <c r="U387" s="15" t="s">
        <v>2988</v>
      </c>
      <c r="V387" s="30" t="s">
        <v>3022</v>
      </c>
      <c r="W387" s="38" t="s">
        <v>1726</v>
      </c>
      <c r="X387" s="15" t="s">
        <v>2989</v>
      </c>
      <c r="Y387" s="17" t="s">
        <v>1727</v>
      </c>
      <c r="Z387" s="57"/>
      <c r="AA387" s="66"/>
    </row>
    <row r="388" spans="1:27" s="78" customFormat="1" ht="70">
      <c r="A388" s="28" t="s">
        <v>736</v>
      </c>
      <c r="B388" s="71" t="s">
        <v>1701</v>
      </c>
      <c r="C388" s="12">
        <v>387</v>
      </c>
      <c r="D388" s="255" t="s">
        <v>1702</v>
      </c>
      <c r="E388" s="48" t="s">
        <v>1703</v>
      </c>
      <c r="F388" s="28" t="s">
        <v>2</v>
      </c>
      <c r="G388" s="71" t="s">
        <v>1704</v>
      </c>
      <c r="H388" s="28" t="s">
        <v>811</v>
      </c>
      <c r="I388" s="74" t="s">
        <v>1705</v>
      </c>
      <c r="J388" s="28">
        <v>2022</v>
      </c>
      <c r="K388" s="73">
        <v>2024</v>
      </c>
      <c r="L388" s="75" t="s">
        <v>1706</v>
      </c>
      <c r="M388" s="48" t="s">
        <v>893</v>
      </c>
      <c r="N388" s="355" t="s">
        <v>356</v>
      </c>
      <c r="O388" s="75" t="s">
        <v>604</v>
      </c>
      <c r="P388" s="73" t="s">
        <v>309</v>
      </c>
      <c r="Q388" s="15" t="s">
        <v>901</v>
      </c>
      <c r="R388" s="15" t="s">
        <v>29</v>
      </c>
      <c r="S388" s="28" t="s">
        <v>2631</v>
      </c>
      <c r="T388" s="12">
        <v>0</v>
      </c>
      <c r="U388" s="12"/>
      <c r="V388" s="17"/>
      <c r="W388" s="38"/>
      <c r="X388" s="12"/>
      <c r="Y388" s="17"/>
      <c r="Z388" s="57"/>
      <c r="AA388" s="165"/>
    </row>
    <row r="389" spans="1:27" s="78" customFormat="1" ht="122.5">
      <c r="A389" s="17" t="s">
        <v>548</v>
      </c>
      <c r="B389" s="120" t="s">
        <v>549</v>
      </c>
      <c r="C389" s="12">
        <v>388</v>
      </c>
      <c r="D389" s="43" t="s">
        <v>1053</v>
      </c>
      <c r="E389" s="15" t="s">
        <v>1565</v>
      </c>
      <c r="F389" s="12" t="s">
        <v>298</v>
      </c>
      <c r="G389" s="60" t="s">
        <v>299</v>
      </c>
      <c r="H389" s="12" t="s">
        <v>1132</v>
      </c>
      <c r="I389" s="43" t="s">
        <v>564</v>
      </c>
      <c r="J389" s="28">
        <v>2015</v>
      </c>
      <c r="K389" s="75">
        <v>2017</v>
      </c>
      <c r="L389" s="53" t="s">
        <v>767</v>
      </c>
      <c r="M389" s="15"/>
      <c r="N389" s="12"/>
      <c r="O389" s="53" t="s">
        <v>604</v>
      </c>
      <c r="P389" s="53" t="s">
        <v>57</v>
      </c>
      <c r="Q389" s="15" t="s">
        <v>891</v>
      </c>
      <c r="R389" s="15" t="s">
        <v>892</v>
      </c>
      <c r="S389" s="28" t="s">
        <v>2629</v>
      </c>
      <c r="T389" s="12">
        <v>2</v>
      </c>
      <c r="U389" s="15" t="s">
        <v>2980</v>
      </c>
      <c r="V389" s="30" t="s">
        <v>3023</v>
      </c>
      <c r="W389" s="38" t="s">
        <v>1630</v>
      </c>
      <c r="X389" s="12" t="s">
        <v>1959</v>
      </c>
      <c r="Y389" s="17" t="s">
        <v>1632</v>
      </c>
      <c r="Z389" s="83">
        <v>3200</v>
      </c>
      <c r="AA389" s="66"/>
    </row>
    <row r="390" spans="1:27" s="78" customFormat="1" ht="70">
      <c r="A390" s="17" t="s">
        <v>548</v>
      </c>
      <c r="B390" s="120" t="s">
        <v>549</v>
      </c>
      <c r="C390" s="12">
        <v>389</v>
      </c>
      <c r="D390" s="43" t="s">
        <v>1059</v>
      </c>
      <c r="E390" s="15" t="s">
        <v>1566</v>
      </c>
      <c r="F390" s="12" t="s">
        <v>298</v>
      </c>
      <c r="G390" s="60" t="s">
        <v>299</v>
      </c>
      <c r="H390" s="12" t="s">
        <v>1132</v>
      </c>
      <c r="I390" s="43" t="s">
        <v>564</v>
      </c>
      <c r="J390" s="28">
        <v>2018</v>
      </c>
      <c r="K390" s="75">
        <v>2019</v>
      </c>
      <c r="L390" s="53" t="s">
        <v>768</v>
      </c>
      <c r="M390" s="15"/>
      <c r="N390" s="12"/>
      <c r="O390" s="53" t="s">
        <v>604</v>
      </c>
      <c r="P390" s="61" t="s">
        <v>57</v>
      </c>
      <c r="Q390" s="15" t="s">
        <v>891</v>
      </c>
      <c r="R390" s="15" t="s">
        <v>892</v>
      </c>
      <c r="S390" s="28" t="s">
        <v>2629</v>
      </c>
      <c r="T390" s="12">
        <v>1</v>
      </c>
      <c r="U390" s="12" t="s">
        <v>2964</v>
      </c>
      <c r="V390" s="17" t="s">
        <v>3024</v>
      </c>
      <c r="W390" s="38" t="s">
        <v>1631</v>
      </c>
      <c r="X390" s="12" t="s">
        <v>1960</v>
      </c>
      <c r="Y390" s="17" t="s">
        <v>1633</v>
      </c>
      <c r="Z390" s="83">
        <v>3200</v>
      </c>
      <c r="AA390" s="66"/>
    </row>
    <row r="391" spans="1:27" s="78" customFormat="1" ht="35">
      <c r="A391" s="17" t="s">
        <v>548</v>
      </c>
      <c r="B391" s="120" t="s">
        <v>566</v>
      </c>
      <c r="C391" s="12">
        <v>390</v>
      </c>
      <c r="D391" s="118" t="s">
        <v>1065</v>
      </c>
      <c r="E391" s="91" t="s">
        <v>1066</v>
      </c>
      <c r="F391" s="12" t="s">
        <v>298</v>
      </c>
      <c r="G391" s="122" t="s">
        <v>1055</v>
      </c>
      <c r="H391" s="12" t="s">
        <v>164</v>
      </c>
      <c r="I391" s="43" t="s">
        <v>697</v>
      </c>
      <c r="J391" s="12">
        <v>2024</v>
      </c>
      <c r="K391" s="92">
        <v>2028</v>
      </c>
      <c r="L391" s="91" t="s">
        <v>1067</v>
      </c>
      <c r="M391" s="15"/>
      <c r="N391" s="12"/>
      <c r="O391" s="91" t="s">
        <v>604</v>
      </c>
      <c r="P391" s="96" t="s">
        <v>57</v>
      </c>
      <c r="Q391" s="15" t="s">
        <v>891</v>
      </c>
      <c r="R391" s="15" t="s">
        <v>892</v>
      </c>
      <c r="S391" s="28" t="s">
        <v>2631</v>
      </c>
      <c r="T391" s="12">
        <v>0</v>
      </c>
      <c r="U391" s="12"/>
      <c r="V391" s="17"/>
      <c r="W391" s="38"/>
      <c r="X391" s="12"/>
      <c r="Y391" s="17"/>
      <c r="Z391" s="83">
        <v>3200</v>
      </c>
      <c r="AA391" s="66"/>
    </row>
    <row r="392" spans="1:27" s="78" customFormat="1" ht="70">
      <c r="A392" s="17" t="s">
        <v>548</v>
      </c>
      <c r="B392" s="288" t="s">
        <v>566</v>
      </c>
      <c r="C392" s="12">
        <v>391</v>
      </c>
      <c r="D392" s="76" t="s">
        <v>1983</v>
      </c>
      <c r="E392" s="30" t="s">
        <v>1984</v>
      </c>
      <c r="F392" s="17" t="s">
        <v>58</v>
      </c>
      <c r="G392" s="77" t="s">
        <v>1985</v>
      </c>
      <c r="H392" s="17" t="s">
        <v>1132</v>
      </c>
      <c r="I392" s="331" t="s">
        <v>1986</v>
      </c>
      <c r="J392" s="17">
        <v>2023</v>
      </c>
      <c r="K392" s="77">
        <v>2024</v>
      </c>
      <c r="L392" s="54" t="s">
        <v>1987</v>
      </c>
      <c r="M392" s="30" t="s">
        <v>2264</v>
      </c>
      <c r="N392" s="30" t="s">
        <v>3186</v>
      </c>
      <c r="O392" s="54" t="s">
        <v>604</v>
      </c>
      <c r="P392" s="120" t="s">
        <v>538</v>
      </c>
      <c r="Q392" s="30" t="s">
        <v>891</v>
      </c>
      <c r="R392" s="30" t="s">
        <v>1006</v>
      </c>
      <c r="S392" s="28" t="s">
        <v>2631</v>
      </c>
      <c r="T392" s="12">
        <v>0</v>
      </c>
      <c r="U392" s="12"/>
      <c r="V392" s="17"/>
      <c r="W392" s="38"/>
      <c r="X392" s="12"/>
      <c r="Y392" s="17"/>
      <c r="Z392" s="123"/>
      <c r="AA392" s="66"/>
    </row>
    <row r="393" spans="1:27" s="78" customFormat="1" ht="70">
      <c r="A393" s="17" t="s">
        <v>548</v>
      </c>
      <c r="B393" s="288" t="s">
        <v>566</v>
      </c>
      <c r="C393" s="12">
        <v>392</v>
      </c>
      <c r="D393" s="76" t="s">
        <v>2013</v>
      </c>
      <c r="E393" s="30" t="s">
        <v>2014</v>
      </c>
      <c r="F393" s="17" t="s">
        <v>58</v>
      </c>
      <c r="G393" s="323" t="s">
        <v>2007</v>
      </c>
      <c r="H393" s="17" t="s">
        <v>164</v>
      </c>
      <c r="I393" s="331" t="s">
        <v>2015</v>
      </c>
      <c r="J393" s="17">
        <v>2023</v>
      </c>
      <c r="K393" s="77">
        <v>2025</v>
      </c>
      <c r="L393" s="54" t="s">
        <v>1987</v>
      </c>
      <c r="M393" s="30" t="s">
        <v>2264</v>
      </c>
      <c r="N393" s="30" t="s">
        <v>2009</v>
      </c>
      <c r="O393" s="54" t="s">
        <v>604</v>
      </c>
      <c r="P393" s="120" t="s">
        <v>57</v>
      </c>
      <c r="Q393" s="30" t="s">
        <v>1992</v>
      </c>
      <c r="R393" s="30" t="s">
        <v>1993</v>
      </c>
      <c r="S393" s="28" t="s">
        <v>2631</v>
      </c>
      <c r="T393" s="12">
        <v>0</v>
      </c>
      <c r="U393" s="12"/>
      <c r="V393" s="17"/>
      <c r="W393" s="38"/>
      <c r="X393" s="12"/>
      <c r="Y393" s="17"/>
      <c r="Z393" s="123"/>
      <c r="AA393" s="66"/>
    </row>
    <row r="394" spans="1:27" s="78" customFormat="1" ht="70">
      <c r="A394" s="17" t="s">
        <v>548</v>
      </c>
      <c r="B394" s="288" t="s">
        <v>566</v>
      </c>
      <c r="C394" s="12">
        <v>393</v>
      </c>
      <c r="D394" s="76" t="s">
        <v>2010</v>
      </c>
      <c r="E394" s="30" t="s">
        <v>2011</v>
      </c>
      <c r="F394" s="17" t="s">
        <v>58</v>
      </c>
      <c r="G394" s="323" t="s">
        <v>2007</v>
      </c>
      <c r="H394" s="17" t="s">
        <v>164</v>
      </c>
      <c r="I394" s="331" t="s">
        <v>2012</v>
      </c>
      <c r="J394" s="17">
        <v>2023</v>
      </c>
      <c r="K394" s="77">
        <v>2025</v>
      </c>
      <c r="L394" s="54" t="s">
        <v>1987</v>
      </c>
      <c r="M394" s="30" t="s">
        <v>2264</v>
      </c>
      <c r="N394" s="30" t="s">
        <v>2009</v>
      </c>
      <c r="O394" s="54" t="s">
        <v>604</v>
      </c>
      <c r="P394" s="120" t="s">
        <v>57</v>
      </c>
      <c r="Q394" s="30" t="s">
        <v>1992</v>
      </c>
      <c r="R394" s="30" t="s">
        <v>1993</v>
      </c>
      <c r="S394" s="28" t="s">
        <v>2631</v>
      </c>
      <c r="T394" s="12">
        <v>0</v>
      </c>
      <c r="U394" s="12"/>
      <c r="V394" s="17"/>
      <c r="W394" s="38"/>
      <c r="X394" s="12"/>
      <c r="Y394" s="17"/>
      <c r="Z394" s="123"/>
      <c r="AA394" s="66"/>
    </row>
    <row r="395" spans="1:27" s="78" customFormat="1" ht="52.5">
      <c r="A395" s="17" t="s">
        <v>548</v>
      </c>
      <c r="B395" s="288" t="s">
        <v>566</v>
      </c>
      <c r="C395" s="12">
        <v>394</v>
      </c>
      <c r="D395" s="76" t="s">
        <v>2016</v>
      </c>
      <c r="E395" s="30" t="s">
        <v>2017</v>
      </c>
      <c r="F395" s="17" t="s">
        <v>58</v>
      </c>
      <c r="G395" s="323" t="s">
        <v>2007</v>
      </c>
      <c r="H395" s="17" t="s">
        <v>164</v>
      </c>
      <c r="I395" s="331" t="s">
        <v>2018</v>
      </c>
      <c r="J395" s="17">
        <v>2023</v>
      </c>
      <c r="K395" s="77">
        <v>2025</v>
      </c>
      <c r="L395" s="54" t="s">
        <v>1987</v>
      </c>
      <c r="M395" s="30" t="s">
        <v>2264</v>
      </c>
      <c r="N395" s="30" t="s">
        <v>2009</v>
      </c>
      <c r="O395" s="54" t="s">
        <v>604</v>
      </c>
      <c r="P395" s="120" t="s">
        <v>57</v>
      </c>
      <c r="Q395" s="30" t="s">
        <v>1992</v>
      </c>
      <c r="R395" s="30" t="s">
        <v>1993</v>
      </c>
      <c r="S395" s="28" t="s">
        <v>2631</v>
      </c>
      <c r="T395" s="12">
        <v>0</v>
      </c>
      <c r="U395" s="12"/>
      <c r="V395" s="17"/>
      <c r="W395" s="38"/>
      <c r="X395" s="12"/>
      <c r="Y395" s="17"/>
      <c r="Z395" s="123"/>
      <c r="AA395" s="66"/>
    </row>
    <row r="396" spans="1:27" s="78" customFormat="1" ht="52.5">
      <c r="A396" s="17" t="s">
        <v>548</v>
      </c>
      <c r="B396" s="288" t="s">
        <v>566</v>
      </c>
      <c r="C396" s="12">
        <v>395</v>
      </c>
      <c r="D396" s="76" t="s">
        <v>2019</v>
      </c>
      <c r="E396" s="30" t="s">
        <v>2020</v>
      </c>
      <c r="F396" s="17" t="s">
        <v>58</v>
      </c>
      <c r="G396" s="323" t="s">
        <v>796</v>
      </c>
      <c r="H396" s="17" t="s">
        <v>164</v>
      </c>
      <c r="I396" s="331" t="s">
        <v>2021</v>
      </c>
      <c r="J396" s="17">
        <v>2023</v>
      </c>
      <c r="K396" s="77">
        <v>2025</v>
      </c>
      <c r="L396" s="54" t="s">
        <v>1987</v>
      </c>
      <c r="M396" s="30" t="s">
        <v>2264</v>
      </c>
      <c r="N396" s="30" t="s">
        <v>2009</v>
      </c>
      <c r="O396" s="54" t="s">
        <v>604</v>
      </c>
      <c r="P396" s="120" t="s">
        <v>538</v>
      </c>
      <c r="Q396" s="30" t="s">
        <v>891</v>
      </c>
      <c r="R396" s="30" t="s">
        <v>892</v>
      </c>
      <c r="S396" s="28" t="s">
        <v>2631</v>
      </c>
      <c r="T396" s="12">
        <v>0</v>
      </c>
      <c r="U396" s="12"/>
      <c r="V396" s="17"/>
      <c r="W396" s="38"/>
      <c r="X396" s="12"/>
      <c r="Y396" s="17"/>
      <c r="Z396" s="123">
        <v>3300</v>
      </c>
      <c r="AA396" s="66"/>
    </row>
    <row r="397" spans="1:27" s="78" customFormat="1" ht="87.5">
      <c r="A397" s="17" t="s">
        <v>548</v>
      </c>
      <c r="B397" s="288" t="s">
        <v>566</v>
      </c>
      <c r="C397" s="12">
        <v>396</v>
      </c>
      <c r="D397" s="76" t="s">
        <v>2005</v>
      </c>
      <c r="E397" s="30" t="s">
        <v>2006</v>
      </c>
      <c r="F397" s="17" t="s">
        <v>58</v>
      </c>
      <c r="G397" s="323" t="s">
        <v>2007</v>
      </c>
      <c r="H397" s="17" t="s">
        <v>164</v>
      </c>
      <c r="I397" s="331" t="s">
        <v>2008</v>
      </c>
      <c r="J397" s="17">
        <v>2024</v>
      </c>
      <c r="K397" s="77">
        <v>2026</v>
      </c>
      <c r="L397" s="54" t="s">
        <v>1987</v>
      </c>
      <c r="M397" s="30" t="s">
        <v>2264</v>
      </c>
      <c r="N397" s="30" t="s">
        <v>2009</v>
      </c>
      <c r="O397" s="54" t="s">
        <v>604</v>
      </c>
      <c r="P397" s="120" t="s">
        <v>57</v>
      </c>
      <c r="Q397" s="30" t="s">
        <v>1992</v>
      </c>
      <c r="R397" s="30" t="s">
        <v>1993</v>
      </c>
      <c r="S397" s="28" t="s">
        <v>2631</v>
      </c>
      <c r="T397" s="12">
        <v>0</v>
      </c>
      <c r="U397" s="12"/>
      <c r="V397" s="17"/>
      <c r="W397" s="38"/>
      <c r="X397" s="12"/>
      <c r="Y397" s="17"/>
      <c r="Z397" s="123"/>
      <c r="AA397" s="66"/>
    </row>
    <row r="398" spans="1:27" s="78" customFormat="1" ht="52.5">
      <c r="A398" s="17" t="s">
        <v>548</v>
      </c>
      <c r="B398" s="288" t="s">
        <v>566</v>
      </c>
      <c r="C398" s="12">
        <v>397</v>
      </c>
      <c r="D398" s="76" t="s">
        <v>1998</v>
      </c>
      <c r="E398" s="30" t="s">
        <v>1999</v>
      </c>
      <c r="F398" s="17" t="s">
        <v>58</v>
      </c>
      <c r="G398" s="323" t="s">
        <v>1990</v>
      </c>
      <c r="H398" s="17" t="s">
        <v>164</v>
      </c>
      <c r="I398" s="331" t="s">
        <v>2000</v>
      </c>
      <c r="J398" s="17">
        <v>2024</v>
      </c>
      <c r="K398" s="77">
        <v>2026</v>
      </c>
      <c r="L398" s="54" t="s">
        <v>1987</v>
      </c>
      <c r="M398" s="30" t="s">
        <v>2264</v>
      </c>
      <c r="N398" s="79"/>
      <c r="O398" s="16" t="s">
        <v>59</v>
      </c>
      <c r="P398" s="120" t="s">
        <v>57</v>
      </c>
      <c r="Q398" s="30" t="s">
        <v>1992</v>
      </c>
      <c r="R398" s="30" t="s">
        <v>1993</v>
      </c>
      <c r="S398" s="28" t="s">
        <v>2631</v>
      </c>
      <c r="T398" s="12">
        <v>0</v>
      </c>
      <c r="U398" s="12"/>
      <c r="V398" s="17"/>
      <c r="W398" s="38"/>
      <c r="X398" s="12"/>
      <c r="Y398" s="17"/>
      <c r="Z398" s="123"/>
      <c r="AA398" s="66"/>
    </row>
    <row r="399" spans="1:27" s="78" customFormat="1" ht="52.5">
      <c r="A399" s="17" t="s">
        <v>548</v>
      </c>
      <c r="B399" s="288" t="s">
        <v>566</v>
      </c>
      <c r="C399" s="12">
        <v>398</v>
      </c>
      <c r="D399" s="76" t="s">
        <v>1988</v>
      </c>
      <c r="E399" s="30" t="s">
        <v>1989</v>
      </c>
      <c r="F399" s="17" t="s">
        <v>58</v>
      </c>
      <c r="G399" s="77" t="s">
        <v>1990</v>
      </c>
      <c r="H399" s="17" t="s">
        <v>164</v>
      </c>
      <c r="I399" s="331" t="s">
        <v>1991</v>
      </c>
      <c r="J399" s="17">
        <v>2024</v>
      </c>
      <c r="K399" s="77">
        <v>2025</v>
      </c>
      <c r="L399" s="54" t="s">
        <v>1987</v>
      </c>
      <c r="M399" s="30" t="s">
        <v>2264</v>
      </c>
      <c r="N399" s="82"/>
      <c r="O399" s="16" t="s">
        <v>59</v>
      </c>
      <c r="P399" s="120" t="s">
        <v>57</v>
      </c>
      <c r="Q399" s="30" t="s">
        <v>1992</v>
      </c>
      <c r="R399" s="30" t="s">
        <v>1993</v>
      </c>
      <c r="S399" s="28" t="s">
        <v>2631</v>
      </c>
      <c r="T399" s="12">
        <v>0</v>
      </c>
      <c r="U399" s="12"/>
      <c r="V399" s="17"/>
      <c r="W399" s="38"/>
      <c r="X399" s="12"/>
      <c r="Y399" s="17"/>
      <c r="Z399" s="123"/>
      <c r="AA399" s="66"/>
    </row>
    <row r="400" spans="1:27" s="78" customFormat="1" ht="52.5">
      <c r="A400" s="17" t="s">
        <v>548</v>
      </c>
      <c r="B400" s="288" t="s">
        <v>566</v>
      </c>
      <c r="C400" s="12">
        <v>399</v>
      </c>
      <c r="D400" s="76" t="s">
        <v>1994</v>
      </c>
      <c r="E400" s="30" t="s">
        <v>1995</v>
      </c>
      <c r="F400" s="17" t="s">
        <v>58</v>
      </c>
      <c r="G400" s="323" t="s">
        <v>1990</v>
      </c>
      <c r="H400" s="17" t="s">
        <v>164</v>
      </c>
      <c r="I400" s="331" t="s">
        <v>1996</v>
      </c>
      <c r="J400" s="17">
        <v>2023</v>
      </c>
      <c r="K400" s="77">
        <v>2025</v>
      </c>
      <c r="L400" s="54" t="s">
        <v>1997</v>
      </c>
      <c r="M400" s="30" t="s">
        <v>2265</v>
      </c>
      <c r="N400" s="82"/>
      <c r="O400" s="16" t="s">
        <v>59</v>
      </c>
      <c r="P400" s="120" t="s">
        <v>57</v>
      </c>
      <c r="Q400" s="30" t="s">
        <v>1992</v>
      </c>
      <c r="R400" s="30" t="s">
        <v>1993</v>
      </c>
      <c r="S400" s="28" t="s">
        <v>2631</v>
      </c>
      <c r="T400" s="12">
        <v>0</v>
      </c>
      <c r="U400" s="12"/>
      <c r="V400" s="17"/>
      <c r="W400" s="38"/>
      <c r="X400" s="12"/>
      <c r="Y400" s="17"/>
      <c r="Z400" s="123"/>
      <c r="AA400" s="66"/>
    </row>
    <row r="401" spans="1:27" s="78" customFormat="1" ht="70">
      <c r="A401" s="17" t="s">
        <v>548</v>
      </c>
      <c r="B401" s="288" t="s">
        <v>566</v>
      </c>
      <c r="C401" s="12">
        <v>400</v>
      </c>
      <c r="D401" s="76" t="s">
        <v>2001</v>
      </c>
      <c r="E401" s="30" t="s">
        <v>2002</v>
      </c>
      <c r="F401" s="17" t="s">
        <v>58</v>
      </c>
      <c r="G401" s="323" t="s">
        <v>2003</v>
      </c>
      <c r="H401" s="17" t="s">
        <v>164</v>
      </c>
      <c r="I401" s="331" t="s">
        <v>2004</v>
      </c>
      <c r="J401" s="17">
        <v>2023</v>
      </c>
      <c r="K401" s="77">
        <v>2025</v>
      </c>
      <c r="L401" s="54" t="s">
        <v>1997</v>
      </c>
      <c r="M401" s="30" t="s">
        <v>2265</v>
      </c>
      <c r="N401" s="30" t="s">
        <v>3140</v>
      </c>
      <c r="O401" s="16" t="s">
        <v>59</v>
      </c>
      <c r="P401" s="120" t="s">
        <v>57</v>
      </c>
      <c r="Q401" s="30" t="s">
        <v>1992</v>
      </c>
      <c r="R401" s="30" t="s">
        <v>1993</v>
      </c>
      <c r="S401" s="28" t="s">
        <v>2631</v>
      </c>
      <c r="T401" s="12">
        <v>0</v>
      </c>
      <c r="U401" s="12"/>
      <c r="V401" s="17"/>
      <c r="W401" s="38"/>
      <c r="X401" s="12"/>
      <c r="Y401" s="17"/>
      <c r="Z401" s="123"/>
      <c r="AA401" s="66" t="s">
        <v>2794</v>
      </c>
    </row>
    <row r="402" spans="1:27" s="78" customFormat="1" ht="140">
      <c r="A402" s="204" t="s">
        <v>548</v>
      </c>
      <c r="B402" s="294" t="s">
        <v>566</v>
      </c>
      <c r="C402" s="204">
        <v>401</v>
      </c>
      <c r="D402" s="306" t="s">
        <v>1965</v>
      </c>
      <c r="E402" s="205" t="s">
        <v>1966</v>
      </c>
      <c r="F402" s="204" t="s">
        <v>298</v>
      </c>
      <c r="G402" s="260" t="s">
        <v>1055</v>
      </c>
      <c r="H402" s="204" t="s">
        <v>2947</v>
      </c>
      <c r="I402" s="339" t="s">
        <v>1967</v>
      </c>
      <c r="J402" s="204">
        <v>2024</v>
      </c>
      <c r="K402" s="265" t="s">
        <v>2868</v>
      </c>
      <c r="L402" s="294" t="s">
        <v>1968</v>
      </c>
      <c r="M402" s="206"/>
      <c r="N402" s="207"/>
      <c r="O402" s="294" t="s">
        <v>215</v>
      </c>
      <c r="P402" s="265" t="s">
        <v>57</v>
      </c>
      <c r="Q402" s="205" t="s">
        <v>891</v>
      </c>
      <c r="R402" s="205" t="s">
        <v>892</v>
      </c>
      <c r="S402" s="204" t="s">
        <v>2631</v>
      </c>
      <c r="T402" s="12">
        <v>0</v>
      </c>
      <c r="U402" s="12"/>
      <c r="V402" s="17"/>
      <c r="W402" s="38"/>
      <c r="X402" s="12"/>
      <c r="Y402" s="17"/>
      <c r="Z402" s="123"/>
      <c r="AA402" s="66"/>
    </row>
    <row r="403" spans="1:27" s="78" customFormat="1" ht="192.5">
      <c r="A403" s="17" t="s">
        <v>548</v>
      </c>
      <c r="B403" s="120" t="s">
        <v>549</v>
      </c>
      <c r="C403" s="12">
        <v>402</v>
      </c>
      <c r="D403" s="43" t="s">
        <v>1053</v>
      </c>
      <c r="E403" s="16" t="s">
        <v>1313</v>
      </c>
      <c r="F403" s="12" t="s">
        <v>298</v>
      </c>
      <c r="G403" s="122" t="s">
        <v>1055</v>
      </c>
      <c r="H403" s="12" t="s">
        <v>1132</v>
      </c>
      <c r="I403" s="118" t="s">
        <v>607</v>
      </c>
      <c r="J403" s="28">
        <v>2018</v>
      </c>
      <c r="K403" s="71">
        <v>2020</v>
      </c>
      <c r="L403" s="91" t="s">
        <v>608</v>
      </c>
      <c r="M403" s="15"/>
      <c r="N403" s="12"/>
      <c r="O403" s="53" t="s">
        <v>604</v>
      </c>
      <c r="P403" s="96" t="s">
        <v>57</v>
      </c>
      <c r="Q403" s="16" t="s">
        <v>891</v>
      </c>
      <c r="R403" s="15" t="s">
        <v>892</v>
      </c>
      <c r="S403" s="28" t="s">
        <v>2629</v>
      </c>
      <c r="T403" s="12">
        <v>3</v>
      </c>
      <c r="U403" s="12" t="s">
        <v>2261</v>
      </c>
      <c r="V403" s="17" t="s">
        <v>1951</v>
      </c>
      <c r="W403" s="38" t="s">
        <v>609</v>
      </c>
      <c r="X403" s="12" t="s">
        <v>1952</v>
      </c>
      <c r="Y403" s="17" t="s">
        <v>1953</v>
      </c>
      <c r="Z403" s="83">
        <v>3200</v>
      </c>
      <c r="AA403" s="66"/>
    </row>
    <row r="404" spans="1:27" s="78" customFormat="1" ht="315">
      <c r="A404" s="17" t="s">
        <v>548</v>
      </c>
      <c r="B404" s="120" t="s">
        <v>549</v>
      </c>
      <c r="C404" s="12">
        <v>403</v>
      </c>
      <c r="D404" s="43" t="s">
        <v>610</v>
      </c>
      <c r="E404" s="15" t="s">
        <v>610</v>
      </c>
      <c r="F404" s="12" t="s">
        <v>298</v>
      </c>
      <c r="G404" s="122" t="s">
        <v>1055</v>
      </c>
      <c r="H404" s="12" t="s">
        <v>1132</v>
      </c>
      <c r="I404" s="118" t="s">
        <v>611</v>
      </c>
      <c r="J404" s="28">
        <v>2020</v>
      </c>
      <c r="K404" s="73">
        <v>2022</v>
      </c>
      <c r="L404" s="91" t="s">
        <v>1954</v>
      </c>
      <c r="M404" s="15"/>
      <c r="N404" s="12"/>
      <c r="O404" s="53" t="s">
        <v>604</v>
      </c>
      <c r="P404" s="96" t="s">
        <v>57</v>
      </c>
      <c r="Q404" s="16" t="s">
        <v>891</v>
      </c>
      <c r="R404" s="15" t="s">
        <v>892</v>
      </c>
      <c r="S404" s="28" t="s">
        <v>2629</v>
      </c>
      <c r="T404" s="12">
        <v>4</v>
      </c>
      <c r="U404" s="12" t="s">
        <v>1955</v>
      </c>
      <c r="V404" s="17" t="s">
        <v>2556</v>
      </c>
      <c r="W404" s="38" t="s">
        <v>612</v>
      </c>
      <c r="X404" s="12" t="s">
        <v>1956</v>
      </c>
      <c r="Y404" s="17" t="s">
        <v>2262</v>
      </c>
      <c r="Z404" s="83">
        <v>3200</v>
      </c>
      <c r="AA404" s="66"/>
    </row>
    <row r="405" spans="1:27" s="78" customFormat="1" ht="227.5">
      <c r="A405" s="17" t="s">
        <v>548</v>
      </c>
      <c r="B405" s="120" t="s">
        <v>566</v>
      </c>
      <c r="C405" s="12">
        <v>404</v>
      </c>
      <c r="D405" s="118" t="s">
        <v>1053</v>
      </c>
      <c r="E405" s="15" t="s">
        <v>1054</v>
      </c>
      <c r="F405" s="12" t="s">
        <v>298</v>
      </c>
      <c r="G405" s="122" t="s">
        <v>1055</v>
      </c>
      <c r="H405" s="28" t="s">
        <v>811</v>
      </c>
      <c r="I405" s="72" t="s">
        <v>693</v>
      </c>
      <c r="J405" s="28">
        <v>2022</v>
      </c>
      <c r="K405" s="73">
        <v>2023</v>
      </c>
      <c r="L405" s="91" t="s">
        <v>1056</v>
      </c>
      <c r="M405" s="15"/>
      <c r="N405" s="12"/>
      <c r="O405" s="91" t="s">
        <v>604</v>
      </c>
      <c r="P405" s="96" t="s">
        <v>57</v>
      </c>
      <c r="Q405" s="15" t="s">
        <v>891</v>
      </c>
      <c r="R405" s="15" t="s">
        <v>892</v>
      </c>
      <c r="S405" s="28" t="s">
        <v>2629</v>
      </c>
      <c r="T405" s="12">
        <v>3</v>
      </c>
      <c r="U405" s="12" t="s">
        <v>1957</v>
      </c>
      <c r="V405" s="30" t="s">
        <v>3025</v>
      </c>
      <c r="W405" s="38" t="s">
        <v>1057</v>
      </c>
      <c r="X405" s="12" t="s">
        <v>1958</v>
      </c>
      <c r="Y405" s="17" t="s">
        <v>1058</v>
      </c>
      <c r="Z405" s="83">
        <v>3200</v>
      </c>
      <c r="AA405" s="66"/>
    </row>
    <row r="406" spans="1:27" s="27" customFormat="1" ht="227.5">
      <c r="A406" s="17" t="s">
        <v>548</v>
      </c>
      <c r="B406" s="120" t="s">
        <v>566</v>
      </c>
      <c r="C406" s="12">
        <v>405</v>
      </c>
      <c r="D406" s="118" t="s">
        <v>1059</v>
      </c>
      <c r="E406" s="15" t="s">
        <v>1060</v>
      </c>
      <c r="F406" s="12" t="s">
        <v>298</v>
      </c>
      <c r="G406" s="122" t="s">
        <v>1055</v>
      </c>
      <c r="H406" s="28" t="s">
        <v>811</v>
      </c>
      <c r="I406" s="72" t="s">
        <v>693</v>
      </c>
      <c r="J406" s="28">
        <v>2022</v>
      </c>
      <c r="K406" s="73">
        <v>2023</v>
      </c>
      <c r="L406" s="91" t="s">
        <v>1056</v>
      </c>
      <c r="M406" s="15"/>
      <c r="N406" s="12"/>
      <c r="O406" s="91" t="s">
        <v>604</v>
      </c>
      <c r="P406" s="96" t="s">
        <v>57</v>
      </c>
      <c r="Q406" s="15" t="s">
        <v>891</v>
      </c>
      <c r="R406" s="15" t="s">
        <v>892</v>
      </c>
      <c r="S406" s="28" t="s">
        <v>2629</v>
      </c>
      <c r="T406" s="12">
        <v>3</v>
      </c>
      <c r="U406" s="15" t="s">
        <v>2990</v>
      </c>
      <c r="V406" s="30" t="s">
        <v>3025</v>
      </c>
      <c r="W406" s="38" t="s">
        <v>1057</v>
      </c>
      <c r="X406" s="12" t="s">
        <v>1958</v>
      </c>
      <c r="Y406" s="17" t="s">
        <v>1058</v>
      </c>
      <c r="Z406" s="83">
        <v>3200</v>
      </c>
      <c r="AA406" s="66"/>
    </row>
    <row r="407" spans="1:27" s="27" customFormat="1" ht="52.5">
      <c r="A407" s="17" t="s">
        <v>548</v>
      </c>
      <c r="B407" s="120" t="s">
        <v>549</v>
      </c>
      <c r="C407" s="12">
        <v>406</v>
      </c>
      <c r="D407" s="43" t="s">
        <v>1556</v>
      </c>
      <c r="E407" s="15" t="s">
        <v>1557</v>
      </c>
      <c r="F407" s="12" t="s">
        <v>224</v>
      </c>
      <c r="G407" s="60" t="s">
        <v>792</v>
      </c>
      <c r="H407" s="12" t="s">
        <v>1132</v>
      </c>
      <c r="I407" s="43" t="s">
        <v>556</v>
      </c>
      <c r="J407" s="12">
        <v>2012</v>
      </c>
      <c r="K407" s="53">
        <v>2014</v>
      </c>
      <c r="L407" s="51" t="s">
        <v>557</v>
      </c>
      <c r="M407" s="15"/>
      <c r="N407" s="12"/>
      <c r="O407" s="16" t="s">
        <v>204</v>
      </c>
      <c r="P407" s="61" t="s">
        <v>57</v>
      </c>
      <c r="Q407" s="15" t="s">
        <v>891</v>
      </c>
      <c r="R407" s="15" t="s">
        <v>892</v>
      </c>
      <c r="S407" s="28" t="s">
        <v>2631</v>
      </c>
      <c r="T407" s="12">
        <v>0</v>
      </c>
      <c r="U407" s="12"/>
      <c r="V407" s="17"/>
      <c r="W407" s="38"/>
      <c r="X407" s="12"/>
      <c r="Y407" s="17"/>
      <c r="Z407" s="83">
        <v>3200</v>
      </c>
      <c r="AA407" s="66"/>
    </row>
    <row r="408" spans="1:27" s="78" customFormat="1" ht="52.5">
      <c r="A408" s="17" t="s">
        <v>548</v>
      </c>
      <c r="B408" s="120" t="s">
        <v>549</v>
      </c>
      <c r="C408" s="12">
        <v>407</v>
      </c>
      <c r="D408" s="118" t="s">
        <v>1309</v>
      </c>
      <c r="E408" s="15" t="s">
        <v>1308</v>
      </c>
      <c r="F408" s="12" t="s">
        <v>224</v>
      </c>
      <c r="G408" s="60" t="s">
        <v>801</v>
      </c>
      <c r="H408" s="12" t="s">
        <v>1132</v>
      </c>
      <c r="I408" s="118" t="s">
        <v>606</v>
      </c>
      <c r="J408" s="12">
        <v>2019</v>
      </c>
      <c r="K408" s="92">
        <v>2022</v>
      </c>
      <c r="L408" s="91" t="s">
        <v>557</v>
      </c>
      <c r="M408" s="15" t="s">
        <v>1033</v>
      </c>
      <c r="N408" s="12"/>
      <c r="O408" s="53" t="s">
        <v>604</v>
      </c>
      <c r="P408" s="96" t="s">
        <v>57</v>
      </c>
      <c r="Q408" s="16" t="s">
        <v>891</v>
      </c>
      <c r="R408" s="15" t="s">
        <v>892</v>
      </c>
      <c r="S408" s="28" t="s">
        <v>2631</v>
      </c>
      <c r="T408" s="12">
        <v>0</v>
      </c>
      <c r="U408" s="12"/>
      <c r="V408" s="17"/>
      <c r="W408" s="38"/>
      <c r="X408" s="12"/>
      <c r="Y408" s="17"/>
      <c r="Z408" s="83">
        <v>3200</v>
      </c>
      <c r="AA408" s="66"/>
    </row>
    <row r="409" spans="1:27" s="78" customFormat="1" ht="87.5">
      <c r="A409" s="17" t="s">
        <v>548</v>
      </c>
      <c r="B409" s="120" t="s">
        <v>566</v>
      </c>
      <c r="C409" s="12">
        <v>408</v>
      </c>
      <c r="D409" s="118" t="s">
        <v>1049</v>
      </c>
      <c r="E409" s="15" t="s">
        <v>1050</v>
      </c>
      <c r="F409" s="12" t="s">
        <v>224</v>
      </c>
      <c r="G409" s="122" t="s">
        <v>3154</v>
      </c>
      <c r="H409" s="12" t="s">
        <v>408</v>
      </c>
      <c r="I409" s="53" t="s">
        <v>691</v>
      </c>
      <c r="J409" s="12">
        <v>2023</v>
      </c>
      <c r="K409" s="92">
        <v>2025</v>
      </c>
      <c r="L409" s="91" t="s">
        <v>1047</v>
      </c>
      <c r="M409" s="15" t="s">
        <v>1033</v>
      </c>
      <c r="N409" s="12"/>
      <c r="O409" s="91" t="s">
        <v>604</v>
      </c>
      <c r="P409" s="96" t="s">
        <v>57</v>
      </c>
      <c r="Q409" s="15" t="s">
        <v>891</v>
      </c>
      <c r="R409" s="15" t="s">
        <v>1006</v>
      </c>
      <c r="S409" s="28" t="s">
        <v>2631</v>
      </c>
      <c r="T409" s="12">
        <v>0</v>
      </c>
      <c r="U409" s="12"/>
      <c r="V409" s="17"/>
      <c r="W409" s="38"/>
      <c r="X409" s="12"/>
      <c r="Y409" s="17"/>
      <c r="Z409" s="83">
        <v>3200</v>
      </c>
      <c r="AA409" s="66"/>
    </row>
    <row r="410" spans="1:27" s="78" customFormat="1" ht="122.5">
      <c r="A410" s="17" t="s">
        <v>548</v>
      </c>
      <c r="B410" s="120" t="s">
        <v>566</v>
      </c>
      <c r="C410" s="12">
        <v>409</v>
      </c>
      <c r="D410" s="118" t="s">
        <v>1051</v>
      </c>
      <c r="E410" s="15" t="s">
        <v>1052</v>
      </c>
      <c r="F410" s="12" t="s">
        <v>224</v>
      </c>
      <c r="G410" s="122" t="s">
        <v>3154</v>
      </c>
      <c r="H410" s="12" t="s">
        <v>408</v>
      </c>
      <c r="I410" s="264" t="s">
        <v>692</v>
      </c>
      <c r="J410" s="12">
        <v>2023</v>
      </c>
      <c r="K410" s="92">
        <v>2025</v>
      </c>
      <c r="L410" s="91" t="s">
        <v>1047</v>
      </c>
      <c r="M410" s="15" t="s">
        <v>1033</v>
      </c>
      <c r="N410" s="12"/>
      <c r="O410" s="91" t="s">
        <v>604</v>
      </c>
      <c r="P410" s="96" t="s">
        <v>57</v>
      </c>
      <c r="Q410" s="15" t="s">
        <v>891</v>
      </c>
      <c r="R410" s="15" t="s">
        <v>1006</v>
      </c>
      <c r="S410" s="28" t="s">
        <v>2631</v>
      </c>
      <c r="T410" s="12">
        <v>0</v>
      </c>
      <c r="U410" s="12"/>
      <c r="V410" s="17"/>
      <c r="W410" s="38"/>
      <c r="X410" s="12"/>
      <c r="Y410" s="17"/>
      <c r="Z410" s="83">
        <v>3200</v>
      </c>
      <c r="AA410" s="66"/>
    </row>
    <row r="411" spans="1:27" s="78" customFormat="1" ht="105">
      <c r="A411" s="17" t="s">
        <v>548</v>
      </c>
      <c r="B411" s="120" t="s">
        <v>549</v>
      </c>
      <c r="C411" s="12">
        <v>410</v>
      </c>
      <c r="D411" s="43" t="s">
        <v>1554</v>
      </c>
      <c r="E411" s="15" t="s">
        <v>1555</v>
      </c>
      <c r="F411" s="12" t="s">
        <v>224</v>
      </c>
      <c r="G411" s="60" t="s">
        <v>792</v>
      </c>
      <c r="H411" s="12" t="s">
        <v>1132</v>
      </c>
      <c r="I411" s="43" t="s">
        <v>555</v>
      </c>
      <c r="J411" s="12">
        <v>2010</v>
      </c>
      <c r="K411" s="53">
        <v>2014</v>
      </c>
      <c r="L411" s="51" t="s">
        <v>554</v>
      </c>
      <c r="M411" s="15"/>
      <c r="N411" s="12"/>
      <c r="O411" s="16" t="s">
        <v>204</v>
      </c>
      <c r="P411" s="61" t="s">
        <v>57</v>
      </c>
      <c r="Q411" s="15" t="s">
        <v>891</v>
      </c>
      <c r="R411" s="15" t="s">
        <v>892</v>
      </c>
      <c r="S411" s="28" t="s">
        <v>2631</v>
      </c>
      <c r="T411" s="12">
        <v>0</v>
      </c>
      <c r="U411" s="12"/>
      <c r="V411" s="17"/>
      <c r="W411" s="38"/>
      <c r="X411" s="12"/>
      <c r="Y411" s="17"/>
      <c r="Z411" s="83">
        <v>3200</v>
      </c>
      <c r="AA411" s="56"/>
    </row>
    <row r="412" spans="1:27" s="78" customFormat="1" ht="52.5">
      <c r="A412" s="17" t="s">
        <v>548</v>
      </c>
      <c r="B412" s="41" t="s">
        <v>549</v>
      </c>
      <c r="C412" s="12">
        <v>411</v>
      </c>
      <c r="D412" s="43" t="s">
        <v>1553</v>
      </c>
      <c r="E412" s="16" t="s">
        <v>2520</v>
      </c>
      <c r="F412" s="13" t="s">
        <v>58</v>
      </c>
      <c r="G412" s="60" t="s">
        <v>552</v>
      </c>
      <c r="H412" s="13" t="s">
        <v>1132</v>
      </c>
      <c r="I412" s="43" t="s">
        <v>553</v>
      </c>
      <c r="J412" s="13">
        <v>2012</v>
      </c>
      <c r="K412" s="53">
        <v>2014</v>
      </c>
      <c r="L412" s="51" t="s">
        <v>554</v>
      </c>
      <c r="M412" s="16"/>
      <c r="N412" s="13"/>
      <c r="O412" s="16" t="s">
        <v>204</v>
      </c>
      <c r="P412" s="61" t="s">
        <v>57</v>
      </c>
      <c r="Q412" s="16" t="s">
        <v>891</v>
      </c>
      <c r="R412" s="16" t="s">
        <v>892</v>
      </c>
      <c r="S412" s="28" t="s">
        <v>2629</v>
      </c>
      <c r="T412" s="12">
        <v>2</v>
      </c>
      <c r="U412" s="15" t="s">
        <v>2980</v>
      </c>
      <c r="V412" s="30" t="s">
        <v>3026</v>
      </c>
      <c r="W412" s="38" t="s">
        <v>1628</v>
      </c>
      <c r="X412" s="15" t="s">
        <v>895</v>
      </c>
      <c r="Y412" s="30" t="s">
        <v>1629</v>
      </c>
      <c r="Z412" s="27"/>
      <c r="AA412" s="66"/>
    </row>
    <row r="413" spans="1:27" s="78" customFormat="1" ht="70">
      <c r="A413" s="17" t="s">
        <v>548</v>
      </c>
      <c r="B413" s="120" t="s">
        <v>549</v>
      </c>
      <c r="C413" s="12">
        <v>412</v>
      </c>
      <c r="D413" s="43" t="s">
        <v>1560</v>
      </c>
      <c r="E413" s="15" t="s">
        <v>1561</v>
      </c>
      <c r="F413" s="12" t="s">
        <v>224</v>
      </c>
      <c r="G413" s="60" t="s">
        <v>792</v>
      </c>
      <c r="H413" s="12" t="s">
        <v>1132</v>
      </c>
      <c r="I413" s="43" t="s">
        <v>561</v>
      </c>
      <c r="J413" s="12">
        <v>2012</v>
      </c>
      <c r="K413" s="51">
        <v>2017</v>
      </c>
      <c r="L413" s="51" t="s">
        <v>554</v>
      </c>
      <c r="M413" s="15"/>
      <c r="N413" s="12"/>
      <c r="O413" s="16" t="s">
        <v>204</v>
      </c>
      <c r="P413" s="61" t="s">
        <v>57</v>
      </c>
      <c r="Q413" s="15" t="s">
        <v>891</v>
      </c>
      <c r="R413" s="15" t="s">
        <v>892</v>
      </c>
      <c r="S413" s="28" t="s">
        <v>2631</v>
      </c>
      <c r="T413" s="12">
        <v>0</v>
      </c>
      <c r="U413" s="12"/>
      <c r="V413" s="17"/>
      <c r="W413" s="38"/>
      <c r="X413" s="12"/>
      <c r="Y413" s="17"/>
      <c r="Z413" s="83">
        <v>3200</v>
      </c>
      <c r="AA413" s="66"/>
    </row>
    <row r="414" spans="1:27" s="78" customFormat="1" ht="52.5">
      <c r="A414" s="17" t="s">
        <v>548</v>
      </c>
      <c r="B414" s="120" t="s">
        <v>549</v>
      </c>
      <c r="C414" s="12">
        <v>413</v>
      </c>
      <c r="D414" s="43" t="s">
        <v>1559</v>
      </c>
      <c r="E414" s="15" t="s">
        <v>2522</v>
      </c>
      <c r="F414" s="12" t="s">
        <v>58</v>
      </c>
      <c r="G414" s="60" t="s">
        <v>552</v>
      </c>
      <c r="H414" s="12" t="s">
        <v>1132</v>
      </c>
      <c r="I414" s="43" t="s">
        <v>560</v>
      </c>
      <c r="J414" s="12">
        <v>2013</v>
      </c>
      <c r="K414" s="51">
        <v>2016</v>
      </c>
      <c r="L414" s="51" t="s">
        <v>554</v>
      </c>
      <c r="M414" s="15"/>
      <c r="N414" s="12"/>
      <c r="O414" s="16" t="s">
        <v>204</v>
      </c>
      <c r="P414" s="61" t="s">
        <v>57</v>
      </c>
      <c r="Q414" s="15" t="s">
        <v>891</v>
      </c>
      <c r="R414" s="15" t="s">
        <v>892</v>
      </c>
      <c r="S414" s="28" t="s">
        <v>2631</v>
      </c>
      <c r="T414" s="12">
        <v>0</v>
      </c>
      <c r="U414" s="12"/>
      <c r="V414" s="17"/>
      <c r="W414" s="38"/>
      <c r="X414" s="12"/>
      <c r="Y414" s="17"/>
      <c r="Z414" s="83">
        <v>3200</v>
      </c>
      <c r="AA414" s="83"/>
    </row>
    <row r="415" spans="1:27" s="78" customFormat="1" ht="87.5">
      <c r="A415" s="17" t="s">
        <v>548</v>
      </c>
      <c r="B415" s="120" t="s">
        <v>549</v>
      </c>
      <c r="C415" s="12">
        <v>414</v>
      </c>
      <c r="D415" s="43" t="s">
        <v>1562</v>
      </c>
      <c r="E415" s="15" t="s">
        <v>1563</v>
      </c>
      <c r="F415" s="12" t="s">
        <v>224</v>
      </c>
      <c r="G415" s="60" t="s">
        <v>792</v>
      </c>
      <c r="H415" s="12" t="s">
        <v>1132</v>
      </c>
      <c r="I415" s="43" t="s">
        <v>562</v>
      </c>
      <c r="J415" s="12">
        <v>2015</v>
      </c>
      <c r="K415" s="51">
        <v>2017</v>
      </c>
      <c r="L415" s="51" t="s">
        <v>554</v>
      </c>
      <c r="M415" s="15"/>
      <c r="N415" s="12"/>
      <c r="O415" s="16" t="s">
        <v>204</v>
      </c>
      <c r="P415" s="61" t="s">
        <v>57</v>
      </c>
      <c r="Q415" s="15" t="s">
        <v>891</v>
      </c>
      <c r="R415" s="15" t="s">
        <v>892</v>
      </c>
      <c r="S415" s="28" t="s">
        <v>2631</v>
      </c>
      <c r="T415" s="12">
        <v>0</v>
      </c>
      <c r="U415" s="12"/>
      <c r="V415" s="17"/>
      <c r="W415" s="38"/>
      <c r="X415" s="12"/>
      <c r="Y415" s="17"/>
      <c r="Z415" s="83">
        <v>3200</v>
      </c>
      <c r="AA415" s="83"/>
    </row>
    <row r="416" spans="1:27" s="78" customFormat="1" ht="35">
      <c r="A416" s="17" t="s">
        <v>548</v>
      </c>
      <c r="B416" s="120" t="s">
        <v>549</v>
      </c>
      <c r="C416" s="12">
        <v>415</v>
      </c>
      <c r="D416" s="43" t="s">
        <v>1564</v>
      </c>
      <c r="E416" s="15" t="s">
        <v>2523</v>
      </c>
      <c r="F416" s="12" t="s">
        <v>58</v>
      </c>
      <c r="G416" s="60" t="s">
        <v>552</v>
      </c>
      <c r="H416" s="12" t="s">
        <v>1132</v>
      </c>
      <c r="I416" s="43" t="s">
        <v>563</v>
      </c>
      <c r="J416" s="12">
        <v>2015</v>
      </c>
      <c r="K416" s="51">
        <v>2017</v>
      </c>
      <c r="L416" s="51" t="s">
        <v>554</v>
      </c>
      <c r="M416" s="15"/>
      <c r="N416" s="12"/>
      <c r="O416" s="16" t="s">
        <v>204</v>
      </c>
      <c r="P416" s="61" t="s">
        <v>57</v>
      </c>
      <c r="Q416" s="15" t="s">
        <v>891</v>
      </c>
      <c r="R416" s="15" t="s">
        <v>892</v>
      </c>
      <c r="S416" s="28" t="s">
        <v>2631</v>
      </c>
      <c r="T416" s="12">
        <v>0</v>
      </c>
      <c r="U416" s="12"/>
      <c r="V416" s="17"/>
      <c r="W416" s="38"/>
      <c r="X416" s="12"/>
      <c r="Y416" s="17"/>
      <c r="Z416" s="83">
        <v>3200</v>
      </c>
      <c r="AA416" s="83" t="s">
        <v>2805</v>
      </c>
    </row>
    <row r="417" spans="1:27" s="78" customFormat="1" ht="105">
      <c r="A417" s="17" t="s">
        <v>548</v>
      </c>
      <c r="B417" s="41" t="s">
        <v>549</v>
      </c>
      <c r="C417" s="12">
        <v>416</v>
      </c>
      <c r="D417" s="43" t="s">
        <v>1551</v>
      </c>
      <c r="E417" s="16" t="s">
        <v>1552</v>
      </c>
      <c r="F417" s="13" t="s">
        <v>224</v>
      </c>
      <c r="G417" s="60" t="s">
        <v>792</v>
      </c>
      <c r="H417" s="13" t="s">
        <v>1132</v>
      </c>
      <c r="I417" s="43" t="s">
        <v>550</v>
      </c>
      <c r="J417" s="13">
        <v>2013</v>
      </c>
      <c r="K417" s="53">
        <v>2014</v>
      </c>
      <c r="L417" s="51" t="s">
        <v>551</v>
      </c>
      <c r="M417" s="16"/>
      <c r="N417" s="13"/>
      <c r="O417" s="16" t="s">
        <v>204</v>
      </c>
      <c r="P417" s="61" t="s">
        <v>57</v>
      </c>
      <c r="Q417" s="16" t="s">
        <v>891</v>
      </c>
      <c r="R417" s="16" t="s">
        <v>892</v>
      </c>
      <c r="S417" s="28" t="s">
        <v>2629</v>
      </c>
      <c r="T417" s="12">
        <v>2</v>
      </c>
      <c r="U417" s="15" t="s">
        <v>2982</v>
      </c>
      <c r="V417" s="30" t="s">
        <v>3026</v>
      </c>
      <c r="W417" s="38" t="s">
        <v>1628</v>
      </c>
      <c r="X417" s="15" t="s">
        <v>895</v>
      </c>
      <c r="Y417" s="30" t="s">
        <v>1629</v>
      </c>
      <c r="Z417" s="27"/>
      <c r="AA417" s="83" t="s">
        <v>2805</v>
      </c>
    </row>
    <row r="418" spans="1:27" s="78" customFormat="1" ht="105">
      <c r="A418" s="17" t="s">
        <v>548</v>
      </c>
      <c r="B418" s="120" t="s">
        <v>549</v>
      </c>
      <c r="C418" s="12">
        <v>417</v>
      </c>
      <c r="D418" s="118" t="s">
        <v>1310</v>
      </c>
      <c r="E418" s="15" t="s">
        <v>2518</v>
      </c>
      <c r="F418" s="12" t="s">
        <v>58</v>
      </c>
      <c r="G418" s="122" t="s">
        <v>599</v>
      </c>
      <c r="H418" s="12" t="s">
        <v>1132</v>
      </c>
      <c r="I418" s="118" t="s">
        <v>600</v>
      </c>
      <c r="J418" s="12">
        <v>2019</v>
      </c>
      <c r="K418" s="92">
        <v>2020</v>
      </c>
      <c r="L418" s="91" t="s">
        <v>551</v>
      </c>
      <c r="M418" s="15" t="s">
        <v>1033</v>
      </c>
      <c r="N418" s="15" t="s">
        <v>601</v>
      </c>
      <c r="O418" s="16" t="s">
        <v>204</v>
      </c>
      <c r="P418" s="96" t="s">
        <v>57</v>
      </c>
      <c r="Q418" s="16" t="s">
        <v>891</v>
      </c>
      <c r="R418" s="15" t="s">
        <v>892</v>
      </c>
      <c r="S418" s="28" t="s">
        <v>2631</v>
      </c>
      <c r="T418" s="12">
        <v>0</v>
      </c>
      <c r="U418" s="12"/>
      <c r="V418" s="17"/>
      <c r="W418" s="38"/>
      <c r="X418" s="12"/>
      <c r="Y418" s="17"/>
      <c r="Z418" s="83">
        <v>3200</v>
      </c>
      <c r="AA418" s="66"/>
    </row>
    <row r="419" spans="1:27" s="78" customFormat="1" ht="70">
      <c r="A419" s="17" t="s">
        <v>548</v>
      </c>
      <c r="B419" s="120" t="s">
        <v>549</v>
      </c>
      <c r="C419" s="12">
        <v>418</v>
      </c>
      <c r="D419" s="118" t="s">
        <v>1311</v>
      </c>
      <c r="E419" s="15" t="s">
        <v>1672</v>
      </c>
      <c r="F419" s="12" t="s">
        <v>58</v>
      </c>
      <c r="G419" s="122" t="s">
        <v>599</v>
      </c>
      <c r="H419" s="12" t="s">
        <v>1132</v>
      </c>
      <c r="I419" s="118" t="s">
        <v>602</v>
      </c>
      <c r="J419" s="12">
        <v>2019</v>
      </c>
      <c r="K419" s="92">
        <v>2020</v>
      </c>
      <c r="L419" s="91" t="s">
        <v>551</v>
      </c>
      <c r="M419" s="15" t="s">
        <v>1033</v>
      </c>
      <c r="N419" s="15" t="s">
        <v>603</v>
      </c>
      <c r="O419" s="53" t="s">
        <v>604</v>
      </c>
      <c r="P419" s="96" t="s">
        <v>57</v>
      </c>
      <c r="Q419" s="16" t="s">
        <v>891</v>
      </c>
      <c r="R419" s="15" t="s">
        <v>892</v>
      </c>
      <c r="S419" s="28" t="s">
        <v>2631</v>
      </c>
      <c r="T419" s="12">
        <v>0</v>
      </c>
      <c r="U419" s="12"/>
      <c r="V419" s="17"/>
      <c r="W419" s="38"/>
      <c r="X419" s="12"/>
      <c r="Y419" s="17"/>
      <c r="Z419" s="83">
        <v>3200</v>
      </c>
      <c r="AA419" s="66"/>
    </row>
    <row r="420" spans="1:27" s="78" customFormat="1" ht="52.5">
      <c r="A420" s="17" t="s">
        <v>548</v>
      </c>
      <c r="B420" s="120" t="s">
        <v>549</v>
      </c>
      <c r="C420" s="12">
        <v>419</v>
      </c>
      <c r="D420" s="118" t="s">
        <v>1312</v>
      </c>
      <c r="E420" s="15" t="s">
        <v>1673</v>
      </c>
      <c r="F420" s="12" t="s">
        <v>58</v>
      </c>
      <c r="G420" s="122" t="s">
        <v>599</v>
      </c>
      <c r="H420" s="12" t="s">
        <v>1132</v>
      </c>
      <c r="I420" s="118" t="s">
        <v>605</v>
      </c>
      <c r="J420" s="12">
        <v>2021</v>
      </c>
      <c r="K420" s="92">
        <v>2022</v>
      </c>
      <c r="L420" s="91" t="s">
        <v>551</v>
      </c>
      <c r="M420" s="15" t="s">
        <v>1033</v>
      </c>
      <c r="N420" s="15" t="s">
        <v>603</v>
      </c>
      <c r="O420" s="16" t="s">
        <v>204</v>
      </c>
      <c r="P420" s="96" t="s">
        <v>57</v>
      </c>
      <c r="Q420" s="16" t="s">
        <v>891</v>
      </c>
      <c r="R420" s="15" t="s">
        <v>892</v>
      </c>
      <c r="S420" s="28" t="s">
        <v>2631</v>
      </c>
      <c r="T420" s="12">
        <v>0</v>
      </c>
      <c r="U420" s="12"/>
      <c r="V420" s="17"/>
      <c r="W420" s="38"/>
      <c r="X420" s="12"/>
      <c r="Y420" s="17"/>
      <c r="Z420" s="83">
        <v>3200</v>
      </c>
      <c r="AA420" s="66"/>
    </row>
    <row r="421" spans="1:27" s="78" customFormat="1" ht="70">
      <c r="A421" s="17" t="s">
        <v>548</v>
      </c>
      <c r="B421" s="120" t="s">
        <v>566</v>
      </c>
      <c r="C421" s="12">
        <v>420</v>
      </c>
      <c r="D421" s="118" t="s">
        <v>1035</v>
      </c>
      <c r="E421" s="15" t="s">
        <v>1034</v>
      </c>
      <c r="F421" s="12" t="s">
        <v>224</v>
      </c>
      <c r="G421" s="122" t="s">
        <v>3154</v>
      </c>
      <c r="H421" s="12" t="s">
        <v>164</v>
      </c>
      <c r="I421" s="53" t="s">
        <v>686</v>
      </c>
      <c r="J421" s="12">
        <v>2022</v>
      </c>
      <c r="K421" s="92">
        <v>2024</v>
      </c>
      <c r="L421" s="91" t="s">
        <v>1032</v>
      </c>
      <c r="M421" s="15" t="s">
        <v>1033</v>
      </c>
      <c r="N421" s="12"/>
      <c r="O421" s="91" t="s">
        <v>604</v>
      </c>
      <c r="P421" s="96" t="s">
        <v>57</v>
      </c>
      <c r="Q421" s="15" t="s">
        <v>891</v>
      </c>
      <c r="R421" s="15" t="s">
        <v>1006</v>
      </c>
      <c r="S421" s="28" t="s">
        <v>2631</v>
      </c>
      <c r="T421" s="12">
        <v>0</v>
      </c>
      <c r="U421" s="12"/>
      <c r="V421" s="17"/>
      <c r="W421" s="38"/>
      <c r="X421" s="12"/>
      <c r="Y421" s="17"/>
      <c r="Z421" s="83">
        <v>3200</v>
      </c>
      <c r="AA421" s="83"/>
    </row>
    <row r="422" spans="1:27" s="27" customFormat="1" ht="52.5">
      <c r="A422" s="17" t="s">
        <v>548</v>
      </c>
      <c r="B422" s="120" t="s">
        <v>566</v>
      </c>
      <c r="C422" s="12">
        <v>421</v>
      </c>
      <c r="D422" s="118" t="s">
        <v>1029</v>
      </c>
      <c r="E422" s="15" t="s">
        <v>1030</v>
      </c>
      <c r="F422" s="12" t="s">
        <v>58</v>
      </c>
      <c r="G422" s="92" t="s">
        <v>1031</v>
      </c>
      <c r="H422" s="164" t="s">
        <v>1132</v>
      </c>
      <c r="I422" s="53" t="s">
        <v>685</v>
      </c>
      <c r="J422" s="12">
        <v>2023</v>
      </c>
      <c r="K422" s="92">
        <v>2024</v>
      </c>
      <c r="L422" s="91" t="s">
        <v>1032</v>
      </c>
      <c r="M422" s="15" t="s">
        <v>1033</v>
      </c>
      <c r="N422" s="12" t="s">
        <v>3127</v>
      </c>
      <c r="O422" s="91" t="s">
        <v>604</v>
      </c>
      <c r="P422" s="96" t="s">
        <v>57</v>
      </c>
      <c r="Q422" s="15" t="s">
        <v>891</v>
      </c>
      <c r="R422" s="15" t="s">
        <v>1006</v>
      </c>
      <c r="S422" s="28" t="s">
        <v>2631</v>
      </c>
      <c r="T422" s="12">
        <v>0</v>
      </c>
      <c r="U422" s="12"/>
      <c r="V422" s="17"/>
      <c r="W422" s="38"/>
      <c r="X422" s="12"/>
      <c r="Y422" s="17"/>
      <c r="Z422" s="83">
        <v>3200</v>
      </c>
      <c r="AA422" s="66"/>
    </row>
    <row r="423" spans="1:27" s="27" customFormat="1" ht="87.5">
      <c r="A423" s="17" t="s">
        <v>548</v>
      </c>
      <c r="B423" s="120" t="s">
        <v>566</v>
      </c>
      <c r="C423" s="12">
        <v>422</v>
      </c>
      <c r="D423" s="118" t="s">
        <v>1040</v>
      </c>
      <c r="E423" s="15" t="s">
        <v>1041</v>
      </c>
      <c r="F423" s="12" t="s">
        <v>224</v>
      </c>
      <c r="G423" s="122" t="s">
        <v>3154</v>
      </c>
      <c r="H423" s="12" t="s">
        <v>408</v>
      </c>
      <c r="I423" s="53" t="s">
        <v>688</v>
      </c>
      <c r="J423" s="12">
        <v>2023</v>
      </c>
      <c r="K423" s="92">
        <v>2025</v>
      </c>
      <c r="L423" s="91" t="s">
        <v>1032</v>
      </c>
      <c r="M423" s="15" t="s">
        <v>1042</v>
      </c>
      <c r="N423" s="12"/>
      <c r="O423" s="91" t="s">
        <v>604</v>
      </c>
      <c r="P423" s="96" t="s">
        <v>57</v>
      </c>
      <c r="Q423" s="15" t="s">
        <v>891</v>
      </c>
      <c r="R423" s="15" t="s">
        <v>1006</v>
      </c>
      <c r="S423" s="28" t="s">
        <v>2629</v>
      </c>
      <c r="T423" s="12">
        <v>1</v>
      </c>
      <c r="U423" s="12" t="s">
        <v>1781</v>
      </c>
      <c r="V423" s="17" t="s">
        <v>1043</v>
      </c>
      <c r="W423" s="38" t="s">
        <v>1044</v>
      </c>
      <c r="X423" s="12" t="s">
        <v>2972</v>
      </c>
      <c r="Y423" s="17" t="s">
        <v>1047</v>
      </c>
      <c r="Z423" s="83">
        <v>3200</v>
      </c>
      <c r="AA423" s="83"/>
    </row>
    <row r="424" spans="1:27" s="27" customFormat="1" ht="52.5">
      <c r="A424" s="17" t="s">
        <v>548</v>
      </c>
      <c r="B424" s="120" t="s">
        <v>566</v>
      </c>
      <c r="C424" s="12">
        <v>423</v>
      </c>
      <c r="D424" s="118" t="s">
        <v>1045</v>
      </c>
      <c r="E424" s="15" t="s">
        <v>1046</v>
      </c>
      <c r="F424" s="12" t="s">
        <v>224</v>
      </c>
      <c r="G424" s="122" t="s">
        <v>3154</v>
      </c>
      <c r="H424" s="12" t="s">
        <v>408</v>
      </c>
      <c r="I424" s="53" t="s">
        <v>689</v>
      </c>
      <c r="J424" s="12">
        <v>2023</v>
      </c>
      <c r="K424" s="92">
        <v>2025</v>
      </c>
      <c r="L424" s="91" t="s">
        <v>1032</v>
      </c>
      <c r="M424" s="15" t="s">
        <v>1042</v>
      </c>
      <c r="N424" s="12"/>
      <c r="O424" s="91" t="s">
        <v>604</v>
      </c>
      <c r="P424" s="96" t="s">
        <v>57</v>
      </c>
      <c r="Q424" s="15" t="s">
        <v>891</v>
      </c>
      <c r="R424" s="15" t="s">
        <v>1006</v>
      </c>
      <c r="S424" s="28" t="s">
        <v>2629</v>
      </c>
      <c r="T424" s="12">
        <v>1</v>
      </c>
      <c r="U424" s="12" t="s">
        <v>1781</v>
      </c>
      <c r="V424" s="17" t="s">
        <v>690</v>
      </c>
      <c r="W424" s="38" t="s">
        <v>1048</v>
      </c>
      <c r="X424" s="12" t="s">
        <v>2972</v>
      </c>
      <c r="Y424" s="17" t="s">
        <v>1047</v>
      </c>
      <c r="Z424" s="83">
        <v>3200</v>
      </c>
      <c r="AA424" s="83"/>
    </row>
    <row r="425" spans="1:27" s="27" customFormat="1" ht="70">
      <c r="A425" s="17" t="s">
        <v>548</v>
      </c>
      <c r="B425" s="120" t="s">
        <v>566</v>
      </c>
      <c r="C425" s="12">
        <v>424</v>
      </c>
      <c r="D425" s="118" t="s">
        <v>1036</v>
      </c>
      <c r="E425" s="15" t="s">
        <v>1037</v>
      </c>
      <c r="F425" s="12" t="s">
        <v>224</v>
      </c>
      <c r="G425" s="122" t="s">
        <v>3154</v>
      </c>
      <c r="H425" s="12" t="s">
        <v>164</v>
      </c>
      <c r="I425" s="53" t="s">
        <v>687</v>
      </c>
      <c r="J425" s="12">
        <v>2018</v>
      </c>
      <c r="K425" s="92">
        <v>2025</v>
      </c>
      <c r="L425" s="91" t="s">
        <v>1038</v>
      </c>
      <c r="M425" s="15" t="s">
        <v>1039</v>
      </c>
      <c r="N425" s="12"/>
      <c r="O425" s="91" t="s">
        <v>604</v>
      </c>
      <c r="P425" s="96" t="s">
        <v>57</v>
      </c>
      <c r="Q425" s="15" t="s">
        <v>891</v>
      </c>
      <c r="R425" s="15" t="s">
        <v>1006</v>
      </c>
      <c r="S425" s="28" t="s">
        <v>2631</v>
      </c>
      <c r="T425" s="12">
        <v>0</v>
      </c>
      <c r="U425" s="12"/>
      <c r="V425" s="17"/>
      <c r="W425" s="38"/>
      <c r="X425" s="12"/>
      <c r="Y425" s="17"/>
      <c r="Z425" s="83">
        <v>3200</v>
      </c>
      <c r="AA425" s="83"/>
    </row>
    <row r="426" spans="1:27" s="27" customFormat="1" ht="87.5">
      <c r="A426" s="17" t="s">
        <v>548</v>
      </c>
      <c r="B426" s="288" t="s">
        <v>566</v>
      </c>
      <c r="C426" s="12">
        <v>425</v>
      </c>
      <c r="D426" s="76" t="s">
        <v>2537</v>
      </c>
      <c r="E426" s="30" t="s">
        <v>2538</v>
      </c>
      <c r="F426" s="17" t="s">
        <v>224</v>
      </c>
      <c r="G426" s="77" t="s">
        <v>3154</v>
      </c>
      <c r="H426" s="17" t="s">
        <v>164</v>
      </c>
      <c r="I426" s="331" t="s">
        <v>2539</v>
      </c>
      <c r="J426" s="17">
        <v>2024</v>
      </c>
      <c r="K426" s="77">
        <v>2026</v>
      </c>
      <c r="L426" s="54" t="s">
        <v>2540</v>
      </c>
      <c r="M426" s="30" t="s">
        <v>2541</v>
      </c>
      <c r="N426" s="30"/>
      <c r="O426" s="54" t="s">
        <v>604</v>
      </c>
      <c r="P426" s="120" t="s">
        <v>57</v>
      </c>
      <c r="Q426" s="30" t="s">
        <v>891</v>
      </c>
      <c r="R426" s="30" t="s">
        <v>1006</v>
      </c>
      <c r="S426" s="28" t="s">
        <v>2629</v>
      </c>
      <c r="T426" s="12">
        <v>1</v>
      </c>
      <c r="U426" s="12" t="s">
        <v>1781</v>
      </c>
      <c r="V426" s="17" t="s">
        <v>2542</v>
      </c>
      <c r="W426" s="38" t="s">
        <v>2543</v>
      </c>
      <c r="X426" s="12" t="s">
        <v>2970</v>
      </c>
      <c r="Y426" s="17" t="s">
        <v>2540</v>
      </c>
      <c r="Z426" s="123"/>
      <c r="AA426" s="83"/>
    </row>
    <row r="427" spans="1:27" s="27" customFormat="1" ht="52.5">
      <c r="A427" s="17" t="s">
        <v>548</v>
      </c>
      <c r="B427" s="17" t="s">
        <v>549</v>
      </c>
      <c r="C427" s="12">
        <v>426</v>
      </c>
      <c r="D427" s="49" t="s">
        <v>1976</v>
      </c>
      <c r="E427" s="30" t="s">
        <v>1977</v>
      </c>
      <c r="F427" s="17" t="s">
        <v>224</v>
      </c>
      <c r="G427" s="17" t="s">
        <v>801</v>
      </c>
      <c r="H427" s="17" t="s">
        <v>811</v>
      </c>
      <c r="I427" s="49" t="s">
        <v>1978</v>
      </c>
      <c r="J427" s="17">
        <v>2015</v>
      </c>
      <c r="K427" s="17">
        <v>2018</v>
      </c>
      <c r="L427" s="30" t="s">
        <v>1974</v>
      </c>
      <c r="M427" s="30"/>
      <c r="N427" s="30"/>
      <c r="O427" s="16" t="s">
        <v>59</v>
      </c>
      <c r="P427" s="17" t="s">
        <v>57</v>
      </c>
      <c r="Q427" s="30" t="s">
        <v>891</v>
      </c>
      <c r="R427" s="30" t="s">
        <v>892</v>
      </c>
      <c r="S427" s="28" t="s">
        <v>2631</v>
      </c>
      <c r="T427" s="12">
        <v>0</v>
      </c>
      <c r="U427" s="12"/>
      <c r="V427" s="17"/>
      <c r="W427" s="38"/>
      <c r="X427" s="12"/>
      <c r="Y427" s="17"/>
      <c r="Z427" s="123"/>
      <c r="AA427" s="83"/>
    </row>
    <row r="428" spans="1:27" s="27" customFormat="1" ht="52.5">
      <c r="A428" s="17" t="s">
        <v>548</v>
      </c>
      <c r="B428" s="17" t="s">
        <v>549</v>
      </c>
      <c r="C428" s="13">
        <v>427</v>
      </c>
      <c r="D428" s="175" t="s">
        <v>1975</v>
      </c>
      <c r="E428" s="163" t="s">
        <v>2806</v>
      </c>
      <c r="F428" s="17" t="s">
        <v>224</v>
      </c>
      <c r="G428" s="17" t="s">
        <v>801</v>
      </c>
      <c r="H428" s="157" t="s">
        <v>1132</v>
      </c>
      <c r="I428" s="175" t="s">
        <v>2807</v>
      </c>
      <c r="J428" s="17">
        <v>2016</v>
      </c>
      <c r="K428" s="157">
        <v>2025</v>
      </c>
      <c r="L428" s="30" t="s">
        <v>1974</v>
      </c>
      <c r="M428" s="30"/>
      <c r="N428" s="17"/>
      <c r="O428" s="54" t="s">
        <v>604</v>
      </c>
      <c r="P428" s="17" t="s">
        <v>57</v>
      </c>
      <c r="Q428" s="30" t="s">
        <v>891</v>
      </c>
      <c r="R428" s="30" t="s">
        <v>892</v>
      </c>
      <c r="S428" s="28" t="s">
        <v>2631</v>
      </c>
      <c r="T428" s="12">
        <v>0</v>
      </c>
      <c r="U428" s="12"/>
      <c r="V428" s="17"/>
      <c r="W428" s="38"/>
      <c r="X428" s="12"/>
      <c r="Y428" s="17"/>
      <c r="Z428" s="123"/>
      <c r="AA428" s="83"/>
    </row>
    <row r="429" spans="1:27" s="27" customFormat="1" ht="52.5">
      <c r="A429" s="17" t="s">
        <v>548</v>
      </c>
      <c r="B429" s="17" t="s">
        <v>549</v>
      </c>
      <c r="C429" s="12">
        <v>428</v>
      </c>
      <c r="D429" s="49" t="s">
        <v>1971</v>
      </c>
      <c r="E429" s="30" t="s">
        <v>1972</v>
      </c>
      <c r="F429" s="17" t="s">
        <v>224</v>
      </c>
      <c r="G429" s="17" t="s">
        <v>801</v>
      </c>
      <c r="H429" s="17" t="s">
        <v>164</v>
      </c>
      <c r="I429" s="49" t="s">
        <v>1973</v>
      </c>
      <c r="J429" s="17">
        <v>2016</v>
      </c>
      <c r="K429" s="17">
        <v>2025</v>
      </c>
      <c r="L429" s="30" t="s">
        <v>1974</v>
      </c>
      <c r="M429" s="30"/>
      <c r="N429" s="17"/>
      <c r="O429" s="54" t="s">
        <v>604</v>
      </c>
      <c r="P429" s="17" t="s">
        <v>57</v>
      </c>
      <c r="Q429" s="30" t="s">
        <v>891</v>
      </c>
      <c r="R429" s="30" t="s">
        <v>892</v>
      </c>
      <c r="S429" s="28" t="s">
        <v>2631</v>
      </c>
      <c r="T429" s="12">
        <v>0</v>
      </c>
      <c r="U429" s="12"/>
      <c r="V429" s="17"/>
      <c r="W429" s="38"/>
      <c r="X429" s="12"/>
      <c r="Y429" s="17"/>
      <c r="Z429" s="123"/>
      <c r="AA429" s="83"/>
    </row>
    <row r="430" spans="1:27" s="27" customFormat="1" ht="87.5">
      <c r="A430" s="17" t="s">
        <v>548</v>
      </c>
      <c r="B430" s="17" t="s">
        <v>549</v>
      </c>
      <c r="C430" s="12">
        <v>429</v>
      </c>
      <c r="D430" s="49" t="s">
        <v>1979</v>
      </c>
      <c r="E430" s="30" t="s">
        <v>2534</v>
      </c>
      <c r="F430" s="17" t="s">
        <v>58</v>
      </c>
      <c r="G430" s="17" t="s">
        <v>1980</v>
      </c>
      <c r="H430" s="17" t="s">
        <v>811</v>
      </c>
      <c r="I430" s="49" t="s">
        <v>1982</v>
      </c>
      <c r="J430" s="17">
        <v>2021</v>
      </c>
      <c r="K430" s="17">
        <v>2022</v>
      </c>
      <c r="L430" s="30" t="s">
        <v>1974</v>
      </c>
      <c r="M430" s="30" t="s">
        <v>2263</v>
      </c>
      <c r="N430" s="17"/>
      <c r="O430" s="54" t="s">
        <v>604</v>
      </c>
      <c r="P430" s="17" t="s">
        <v>57</v>
      </c>
      <c r="Q430" s="30" t="s">
        <v>891</v>
      </c>
      <c r="R430" s="30" t="s">
        <v>892</v>
      </c>
      <c r="S430" s="28" t="s">
        <v>2631</v>
      </c>
      <c r="T430" s="12">
        <v>0</v>
      </c>
      <c r="U430" s="12"/>
      <c r="V430" s="17"/>
      <c r="W430" s="38"/>
      <c r="X430" s="12"/>
      <c r="Y430" s="17"/>
      <c r="Z430" s="123"/>
      <c r="AA430" s="83"/>
    </row>
    <row r="431" spans="1:27" s="27" customFormat="1" ht="87.5">
      <c r="A431" s="17" t="s">
        <v>548</v>
      </c>
      <c r="B431" s="17" t="s">
        <v>549</v>
      </c>
      <c r="C431" s="12">
        <v>430</v>
      </c>
      <c r="D431" s="49" t="s">
        <v>1979</v>
      </c>
      <c r="E431" s="30" t="s">
        <v>2566</v>
      </c>
      <c r="F431" s="17" t="s">
        <v>58</v>
      </c>
      <c r="G431" s="17" t="s">
        <v>1980</v>
      </c>
      <c r="H431" s="17" t="s">
        <v>54</v>
      </c>
      <c r="I431" s="49" t="s">
        <v>1981</v>
      </c>
      <c r="J431" s="17">
        <v>2023</v>
      </c>
      <c r="K431" s="17">
        <v>2025</v>
      </c>
      <c r="L431" s="30" t="s">
        <v>1974</v>
      </c>
      <c r="M431" s="30" t="s">
        <v>2263</v>
      </c>
      <c r="N431" s="17"/>
      <c r="O431" s="54" t="s">
        <v>604</v>
      </c>
      <c r="P431" s="17" t="s">
        <v>57</v>
      </c>
      <c r="Q431" s="30" t="s">
        <v>891</v>
      </c>
      <c r="R431" s="30" t="s">
        <v>892</v>
      </c>
      <c r="S431" s="28" t="s">
        <v>2631</v>
      </c>
      <c r="T431" s="12">
        <v>0</v>
      </c>
      <c r="U431" s="12"/>
      <c r="V431" s="17"/>
      <c r="W431" s="38"/>
      <c r="X431" s="12"/>
      <c r="Y431" s="17"/>
      <c r="Z431" s="123"/>
      <c r="AA431" s="83"/>
    </row>
    <row r="432" spans="1:27" s="27" customFormat="1" ht="52.5">
      <c r="A432" s="17" t="s">
        <v>548</v>
      </c>
      <c r="B432" s="30" t="s">
        <v>566</v>
      </c>
      <c r="C432" s="12">
        <v>431</v>
      </c>
      <c r="D432" s="208" t="s">
        <v>1241</v>
      </c>
      <c r="E432" s="163" t="s">
        <v>2808</v>
      </c>
      <c r="F432" s="17" t="s">
        <v>298</v>
      </c>
      <c r="G432" s="17" t="s">
        <v>1055</v>
      </c>
      <c r="H432" s="157" t="s">
        <v>811</v>
      </c>
      <c r="I432" s="49" t="s">
        <v>1969</v>
      </c>
      <c r="J432" s="17">
        <v>2024</v>
      </c>
      <c r="K432" s="157">
        <v>2025</v>
      </c>
      <c r="L432" s="30" t="s">
        <v>1970</v>
      </c>
      <c r="M432" s="30"/>
      <c r="N432" s="17"/>
      <c r="O432" s="30" t="s">
        <v>604</v>
      </c>
      <c r="P432" s="17" t="s">
        <v>57</v>
      </c>
      <c r="Q432" s="30" t="s">
        <v>891</v>
      </c>
      <c r="R432" s="30" t="s">
        <v>892</v>
      </c>
      <c r="S432" s="157" t="s">
        <v>2634</v>
      </c>
      <c r="T432" s="164">
        <v>1</v>
      </c>
      <c r="U432" s="12"/>
      <c r="V432" s="157" t="s">
        <v>2632</v>
      </c>
      <c r="W432" s="172" t="s">
        <v>2632</v>
      </c>
      <c r="X432" s="164" t="s">
        <v>2632</v>
      </c>
      <c r="Y432" s="157" t="s">
        <v>2628</v>
      </c>
      <c r="Z432" s="123"/>
      <c r="AA432" s="123"/>
    </row>
    <row r="433" spans="1:27" s="27" customFormat="1" ht="87.5">
      <c r="A433" s="17" t="s">
        <v>548</v>
      </c>
      <c r="B433" s="17" t="s">
        <v>566</v>
      </c>
      <c r="C433" s="12">
        <v>432</v>
      </c>
      <c r="D433" s="33" t="s">
        <v>571</v>
      </c>
      <c r="E433" s="46" t="s">
        <v>2526</v>
      </c>
      <c r="F433" s="12" t="s">
        <v>58</v>
      </c>
      <c r="G433" s="13" t="s">
        <v>570</v>
      </c>
      <c r="H433" s="12" t="s">
        <v>1132</v>
      </c>
      <c r="I433" s="33" t="s">
        <v>572</v>
      </c>
      <c r="J433" s="12">
        <v>2012</v>
      </c>
      <c r="K433" s="16">
        <v>2015</v>
      </c>
      <c r="L433" s="13" t="s">
        <v>573</v>
      </c>
      <c r="M433" s="15"/>
      <c r="N433" s="12"/>
      <c r="O433" s="16" t="s">
        <v>215</v>
      </c>
      <c r="P433" s="16" t="s">
        <v>10</v>
      </c>
      <c r="Q433" s="15" t="s">
        <v>891</v>
      </c>
      <c r="R433" s="15" t="s">
        <v>93</v>
      </c>
      <c r="S433" s="28" t="s">
        <v>2629</v>
      </c>
      <c r="T433" s="12">
        <v>1</v>
      </c>
      <c r="U433" s="12" t="s">
        <v>2964</v>
      </c>
      <c r="V433" s="17" t="s">
        <v>3027</v>
      </c>
      <c r="W433" s="38" t="s">
        <v>1635</v>
      </c>
      <c r="X433" s="12" t="s">
        <v>1595</v>
      </c>
      <c r="Y433" s="17" t="s">
        <v>1640</v>
      </c>
      <c r="Z433" s="83">
        <v>3200</v>
      </c>
      <c r="AA433" s="123"/>
    </row>
    <row r="434" spans="1:27" s="27" customFormat="1" ht="140">
      <c r="A434" s="17" t="s">
        <v>548</v>
      </c>
      <c r="B434" s="17" t="s">
        <v>549</v>
      </c>
      <c r="C434" s="12">
        <v>433</v>
      </c>
      <c r="D434" s="38" t="s">
        <v>617</v>
      </c>
      <c r="E434" s="15" t="s">
        <v>617</v>
      </c>
      <c r="F434" s="12" t="s">
        <v>534</v>
      </c>
      <c r="G434" s="12" t="s">
        <v>616</v>
      </c>
      <c r="H434" s="12" t="s">
        <v>1132</v>
      </c>
      <c r="I434" s="38" t="s">
        <v>618</v>
      </c>
      <c r="J434" s="12">
        <v>2016</v>
      </c>
      <c r="K434" s="12">
        <v>2020</v>
      </c>
      <c r="L434" s="15" t="s">
        <v>619</v>
      </c>
      <c r="M434" s="15"/>
      <c r="N434" s="12"/>
      <c r="O434" s="16" t="s">
        <v>204</v>
      </c>
      <c r="P434" s="12" t="s">
        <v>57</v>
      </c>
      <c r="Q434" s="15" t="s">
        <v>891</v>
      </c>
      <c r="R434" s="16" t="s">
        <v>93</v>
      </c>
      <c r="S434" s="28" t="s">
        <v>2629</v>
      </c>
      <c r="T434" s="12">
        <v>1</v>
      </c>
      <c r="U434" s="12" t="s">
        <v>2964</v>
      </c>
      <c r="V434" s="17" t="s">
        <v>621</v>
      </c>
      <c r="W434" s="38" t="s">
        <v>620</v>
      </c>
      <c r="X434" s="12" t="s">
        <v>2970</v>
      </c>
      <c r="Y434" s="17" t="s">
        <v>573</v>
      </c>
      <c r="Z434" s="83">
        <v>3200</v>
      </c>
      <c r="AA434" s="123"/>
    </row>
    <row r="435" spans="1:27" s="27" customFormat="1" ht="87.5">
      <c r="A435" s="17" t="s">
        <v>548</v>
      </c>
      <c r="B435" s="17" t="s">
        <v>549</v>
      </c>
      <c r="C435" s="12">
        <v>434</v>
      </c>
      <c r="D435" s="252" t="s">
        <v>2557</v>
      </c>
      <c r="E435" s="15" t="s">
        <v>2557</v>
      </c>
      <c r="F435" s="12" t="s">
        <v>534</v>
      </c>
      <c r="G435" s="12" t="s">
        <v>622</v>
      </c>
      <c r="H435" s="12" t="s">
        <v>1132</v>
      </c>
      <c r="I435" s="38" t="s">
        <v>623</v>
      </c>
      <c r="J435" s="12">
        <v>2018</v>
      </c>
      <c r="K435" s="12">
        <v>2021</v>
      </c>
      <c r="L435" s="15" t="s">
        <v>619</v>
      </c>
      <c r="M435" s="15"/>
      <c r="N435" s="12"/>
      <c r="O435" s="16" t="s">
        <v>604</v>
      </c>
      <c r="P435" s="12" t="s">
        <v>57</v>
      </c>
      <c r="Q435" s="16" t="s">
        <v>891</v>
      </c>
      <c r="R435" s="16" t="s">
        <v>93</v>
      </c>
      <c r="S435" s="28" t="s">
        <v>2629</v>
      </c>
      <c r="T435" s="12">
        <v>1</v>
      </c>
      <c r="U435" s="12" t="s">
        <v>2964</v>
      </c>
      <c r="V435" s="17" t="s">
        <v>625</v>
      </c>
      <c r="W435" s="38" t="s">
        <v>624</v>
      </c>
      <c r="X435" s="12" t="s">
        <v>2970</v>
      </c>
      <c r="Y435" s="17" t="s">
        <v>573</v>
      </c>
      <c r="Z435" s="83">
        <v>3200</v>
      </c>
      <c r="AA435" s="123" t="s">
        <v>2805</v>
      </c>
    </row>
    <row r="436" spans="1:27" s="27" customFormat="1" ht="35">
      <c r="A436" s="17" t="s">
        <v>548</v>
      </c>
      <c r="B436" s="17" t="s">
        <v>549</v>
      </c>
      <c r="C436" s="12">
        <v>435</v>
      </c>
      <c r="D436" s="49" t="s">
        <v>1558</v>
      </c>
      <c r="E436" s="15" t="s">
        <v>2521</v>
      </c>
      <c r="F436" s="12" t="s">
        <v>58</v>
      </c>
      <c r="G436" s="17" t="s">
        <v>552</v>
      </c>
      <c r="H436" s="12" t="s">
        <v>1132</v>
      </c>
      <c r="I436" s="49" t="s">
        <v>558</v>
      </c>
      <c r="J436" s="12">
        <v>2012</v>
      </c>
      <c r="K436" s="30">
        <v>2015</v>
      </c>
      <c r="L436" s="17" t="s">
        <v>559</v>
      </c>
      <c r="M436" s="15"/>
      <c r="N436" s="12"/>
      <c r="O436" s="16" t="s">
        <v>204</v>
      </c>
      <c r="P436" s="16" t="s">
        <v>57</v>
      </c>
      <c r="Q436" s="15" t="s">
        <v>891</v>
      </c>
      <c r="R436" s="15" t="s">
        <v>892</v>
      </c>
      <c r="S436" s="28" t="s">
        <v>2631</v>
      </c>
      <c r="T436" s="12">
        <v>0</v>
      </c>
      <c r="U436" s="12"/>
      <c r="V436" s="17"/>
      <c r="W436" s="38"/>
      <c r="X436" s="12"/>
      <c r="Y436" s="17"/>
      <c r="Z436" s="83">
        <v>3200</v>
      </c>
      <c r="AA436" s="123" t="s">
        <v>2805</v>
      </c>
    </row>
    <row r="437" spans="1:27" s="27" customFormat="1" ht="70">
      <c r="A437" s="17" t="s">
        <v>548</v>
      </c>
      <c r="B437" s="17" t="s">
        <v>549</v>
      </c>
      <c r="C437" s="12">
        <v>436</v>
      </c>
      <c r="D437" s="49" t="s">
        <v>1567</v>
      </c>
      <c r="E437" s="15" t="s">
        <v>2524</v>
      </c>
      <c r="F437" s="12" t="s">
        <v>58</v>
      </c>
      <c r="G437" s="17" t="s">
        <v>552</v>
      </c>
      <c r="H437" s="12" t="s">
        <v>1132</v>
      </c>
      <c r="I437" s="49" t="s">
        <v>565</v>
      </c>
      <c r="J437" s="12">
        <v>2017</v>
      </c>
      <c r="K437" s="30">
        <v>2019</v>
      </c>
      <c r="L437" s="30" t="s">
        <v>559</v>
      </c>
      <c r="M437" s="15"/>
      <c r="N437" s="12"/>
      <c r="O437" s="16" t="s">
        <v>204</v>
      </c>
      <c r="P437" s="30" t="s">
        <v>57</v>
      </c>
      <c r="Q437" s="15" t="s">
        <v>891</v>
      </c>
      <c r="R437" s="15" t="s">
        <v>892</v>
      </c>
      <c r="S437" s="28" t="s">
        <v>2631</v>
      </c>
      <c r="T437" s="12">
        <v>0</v>
      </c>
      <c r="U437" s="12"/>
      <c r="V437" s="17"/>
      <c r="W437" s="38"/>
      <c r="X437" s="12"/>
      <c r="Y437" s="17"/>
      <c r="Z437" s="83">
        <v>3200</v>
      </c>
      <c r="AA437" s="123" t="s">
        <v>2805</v>
      </c>
    </row>
    <row r="438" spans="1:27" s="27" customFormat="1" ht="87.5">
      <c r="A438" s="17" t="s">
        <v>548</v>
      </c>
      <c r="B438" s="17" t="s">
        <v>549</v>
      </c>
      <c r="C438" s="12">
        <v>437</v>
      </c>
      <c r="D438" s="33" t="s">
        <v>1314</v>
      </c>
      <c r="E438" s="16" t="s">
        <v>2519</v>
      </c>
      <c r="F438" s="12" t="s">
        <v>58</v>
      </c>
      <c r="G438" s="16" t="s">
        <v>3182</v>
      </c>
      <c r="H438" s="12" t="s">
        <v>1132</v>
      </c>
      <c r="I438" s="64" t="s">
        <v>613</v>
      </c>
      <c r="J438" s="12">
        <v>2019</v>
      </c>
      <c r="K438" s="12">
        <v>2021</v>
      </c>
      <c r="L438" s="124" t="s">
        <v>569</v>
      </c>
      <c r="M438" s="15"/>
      <c r="N438" s="12"/>
      <c r="O438" s="16" t="s">
        <v>604</v>
      </c>
      <c r="P438" s="12" t="s">
        <v>57</v>
      </c>
      <c r="Q438" s="16" t="s">
        <v>891</v>
      </c>
      <c r="R438" s="15" t="s">
        <v>892</v>
      </c>
      <c r="S438" s="28" t="s">
        <v>2629</v>
      </c>
      <c r="T438" s="12">
        <v>1</v>
      </c>
      <c r="U438" s="12" t="s">
        <v>2959</v>
      </c>
      <c r="V438" s="17" t="s">
        <v>615</v>
      </c>
      <c r="W438" s="38" t="s">
        <v>614</v>
      </c>
      <c r="X438" s="12" t="s">
        <v>2970</v>
      </c>
      <c r="Y438" s="17" t="s">
        <v>569</v>
      </c>
      <c r="Z438" s="83">
        <v>3200</v>
      </c>
      <c r="AA438" s="123" t="s">
        <v>2805</v>
      </c>
    </row>
    <row r="439" spans="1:27" s="27" customFormat="1" ht="192.5">
      <c r="A439" s="17" t="s">
        <v>548</v>
      </c>
      <c r="B439" s="17" t="s">
        <v>566</v>
      </c>
      <c r="C439" s="12">
        <v>438</v>
      </c>
      <c r="D439" s="49" t="s">
        <v>1568</v>
      </c>
      <c r="E439" s="15" t="s">
        <v>2525</v>
      </c>
      <c r="F439" s="12" t="s">
        <v>58</v>
      </c>
      <c r="G439" s="53" t="s">
        <v>3182</v>
      </c>
      <c r="H439" s="12" t="s">
        <v>1132</v>
      </c>
      <c r="I439" s="112" t="s">
        <v>567</v>
      </c>
      <c r="J439" s="12">
        <v>2017</v>
      </c>
      <c r="K439" s="30">
        <v>2019</v>
      </c>
      <c r="L439" s="17" t="s">
        <v>568</v>
      </c>
      <c r="M439" s="15"/>
      <c r="N439" s="12"/>
      <c r="O439" s="16" t="s">
        <v>204</v>
      </c>
      <c r="P439" s="30" t="s">
        <v>10</v>
      </c>
      <c r="Q439" s="15" t="s">
        <v>891</v>
      </c>
      <c r="R439" s="15" t="s">
        <v>892</v>
      </c>
      <c r="S439" s="28" t="s">
        <v>2629</v>
      </c>
      <c r="T439" s="12">
        <v>1</v>
      </c>
      <c r="U439" s="12" t="s">
        <v>2964</v>
      </c>
      <c r="V439" s="17" t="s">
        <v>3028</v>
      </c>
      <c r="W439" s="38" t="s">
        <v>1634</v>
      </c>
      <c r="X439" s="12" t="s">
        <v>2970</v>
      </c>
      <c r="Y439" s="17" t="s">
        <v>1639</v>
      </c>
      <c r="Z439" s="83">
        <v>3200</v>
      </c>
      <c r="AA439" s="123" t="s">
        <v>2805</v>
      </c>
    </row>
    <row r="440" spans="1:27" s="27" customFormat="1" ht="245">
      <c r="A440" s="17" t="s">
        <v>548</v>
      </c>
      <c r="B440" s="17" t="s">
        <v>566</v>
      </c>
      <c r="C440" s="12">
        <v>439</v>
      </c>
      <c r="D440" s="172" t="s">
        <v>2809</v>
      </c>
      <c r="E440" s="15" t="s">
        <v>694</v>
      </c>
      <c r="F440" s="12" t="s">
        <v>403</v>
      </c>
      <c r="G440" s="12" t="s">
        <v>1061</v>
      </c>
      <c r="H440" s="12" t="s">
        <v>164</v>
      </c>
      <c r="I440" s="35" t="s">
        <v>695</v>
      </c>
      <c r="J440" s="12">
        <v>2023</v>
      </c>
      <c r="K440" s="164">
        <v>2026</v>
      </c>
      <c r="L440" s="16" t="s">
        <v>696</v>
      </c>
      <c r="M440" s="15" t="s">
        <v>1062</v>
      </c>
      <c r="N440" s="163" t="s">
        <v>2810</v>
      </c>
      <c r="O440" s="15" t="s">
        <v>765</v>
      </c>
      <c r="P440" s="12" t="s">
        <v>57</v>
      </c>
      <c r="Q440" s="15" t="s">
        <v>891</v>
      </c>
      <c r="R440" s="15" t="s">
        <v>1006</v>
      </c>
      <c r="S440" s="28" t="s">
        <v>2629</v>
      </c>
      <c r="T440" s="12">
        <v>1</v>
      </c>
      <c r="U440" s="12" t="s">
        <v>1781</v>
      </c>
      <c r="V440" s="17" t="s">
        <v>1063</v>
      </c>
      <c r="W440" s="38" t="s">
        <v>1064</v>
      </c>
      <c r="X440" s="12" t="s">
        <v>2970</v>
      </c>
      <c r="Y440" s="17" t="s">
        <v>576</v>
      </c>
      <c r="Z440" s="66">
        <v>3200</v>
      </c>
      <c r="AA440" s="66"/>
    </row>
    <row r="441" spans="1:27" s="78" customFormat="1" ht="262.5">
      <c r="A441" s="17" t="s">
        <v>548</v>
      </c>
      <c r="B441" s="30" t="s">
        <v>566</v>
      </c>
      <c r="C441" s="12">
        <v>440</v>
      </c>
      <c r="D441" s="33" t="s">
        <v>1569</v>
      </c>
      <c r="E441" s="15" t="s">
        <v>1570</v>
      </c>
      <c r="F441" s="12" t="s">
        <v>58</v>
      </c>
      <c r="G441" s="16" t="s">
        <v>3182</v>
      </c>
      <c r="H441" s="12" t="s">
        <v>1132</v>
      </c>
      <c r="I441" s="35" t="s">
        <v>574</v>
      </c>
      <c r="J441" s="12">
        <v>2017</v>
      </c>
      <c r="K441" s="16">
        <v>2019</v>
      </c>
      <c r="L441" s="16" t="s">
        <v>575</v>
      </c>
      <c r="M441" s="162" t="s">
        <v>1062</v>
      </c>
      <c r="N441" s="12"/>
      <c r="O441" s="16" t="s">
        <v>604</v>
      </c>
      <c r="P441" s="16" t="s">
        <v>10</v>
      </c>
      <c r="Q441" s="15" t="s">
        <v>891</v>
      </c>
      <c r="R441" s="15" t="s">
        <v>892</v>
      </c>
      <c r="S441" s="28" t="s">
        <v>2629</v>
      </c>
      <c r="T441" s="12">
        <v>1</v>
      </c>
      <c r="U441" s="12" t="s">
        <v>2964</v>
      </c>
      <c r="V441" s="17" t="s">
        <v>3029</v>
      </c>
      <c r="W441" s="38" t="s">
        <v>1636</v>
      </c>
      <c r="X441" s="12" t="s">
        <v>1595</v>
      </c>
      <c r="Y441" s="17" t="s">
        <v>1641</v>
      </c>
      <c r="Z441" s="83">
        <v>3200</v>
      </c>
      <c r="AA441" s="123" t="s">
        <v>2805</v>
      </c>
    </row>
    <row r="442" spans="1:27" s="78" customFormat="1" ht="192.5">
      <c r="A442" s="17" t="s">
        <v>548</v>
      </c>
      <c r="B442" s="30" t="s">
        <v>566</v>
      </c>
      <c r="C442" s="12">
        <v>441</v>
      </c>
      <c r="D442" s="33" t="s">
        <v>1571</v>
      </c>
      <c r="E442" s="15" t="s">
        <v>1572</v>
      </c>
      <c r="F442" s="12" t="s">
        <v>403</v>
      </c>
      <c r="G442" s="13" t="s">
        <v>577</v>
      </c>
      <c r="H442" s="12" t="s">
        <v>1132</v>
      </c>
      <c r="I442" s="35" t="s">
        <v>578</v>
      </c>
      <c r="J442" s="12">
        <v>2017</v>
      </c>
      <c r="K442" s="16">
        <v>2019</v>
      </c>
      <c r="L442" s="16" t="s">
        <v>575</v>
      </c>
      <c r="M442" s="162" t="s">
        <v>1062</v>
      </c>
      <c r="N442" s="12"/>
      <c r="O442" s="16" t="s">
        <v>604</v>
      </c>
      <c r="P442" s="16" t="s">
        <v>10</v>
      </c>
      <c r="Q442" s="15" t="s">
        <v>891</v>
      </c>
      <c r="R442" s="15" t="s">
        <v>892</v>
      </c>
      <c r="S442" s="157" t="s">
        <v>2631</v>
      </c>
      <c r="T442" s="12">
        <v>0</v>
      </c>
      <c r="U442" s="12"/>
      <c r="V442" s="17"/>
      <c r="W442" s="38"/>
      <c r="X442" s="12"/>
      <c r="Y442" s="17"/>
      <c r="Z442" s="66">
        <v>3200</v>
      </c>
      <c r="AA442" s="123" t="s">
        <v>2805</v>
      </c>
    </row>
    <row r="443" spans="1:27" s="78" customFormat="1" ht="227.5">
      <c r="A443" s="17" t="s">
        <v>548</v>
      </c>
      <c r="B443" s="17" t="s">
        <v>549</v>
      </c>
      <c r="C443" s="12">
        <v>442</v>
      </c>
      <c r="D443" s="125" t="s">
        <v>626</v>
      </c>
      <c r="E443" s="126" t="s">
        <v>626</v>
      </c>
      <c r="F443" s="12" t="s">
        <v>403</v>
      </c>
      <c r="G443" s="126" t="s">
        <v>1061</v>
      </c>
      <c r="H443" s="12" t="s">
        <v>1132</v>
      </c>
      <c r="I443" s="127" t="s">
        <v>627</v>
      </c>
      <c r="J443" s="12">
        <v>2018</v>
      </c>
      <c r="K443" s="12">
        <v>2023</v>
      </c>
      <c r="L443" s="126" t="s">
        <v>628</v>
      </c>
      <c r="M443" s="15" t="s">
        <v>3070</v>
      </c>
      <c r="N443" s="15" t="s">
        <v>2810</v>
      </c>
      <c r="O443" s="15" t="s">
        <v>763</v>
      </c>
      <c r="P443" s="12" t="s">
        <v>538</v>
      </c>
      <c r="Q443" s="16" t="s">
        <v>891</v>
      </c>
      <c r="R443" s="15" t="s">
        <v>892</v>
      </c>
      <c r="S443" s="28" t="s">
        <v>2629</v>
      </c>
      <c r="T443" s="12">
        <v>1</v>
      </c>
      <c r="U443" s="12" t="s">
        <v>1781</v>
      </c>
      <c r="V443" s="17" t="s">
        <v>629</v>
      </c>
      <c r="W443" s="246"/>
      <c r="X443" s="12" t="s">
        <v>2970</v>
      </c>
      <c r="Y443" s="17" t="s">
        <v>576</v>
      </c>
      <c r="Z443" s="83">
        <v>3200</v>
      </c>
      <c r="AA443" s="66" t="s">
        <v>2805</v>
      </c>
    </row>
    <row r="444" spans="1:27" s="78" customFormat="1" ht="105">
      <c r="A444" s="17" t="s">
        <v>548</v>
      </c>
      <c r="B444" s="17" t="s">
        <v>549</v>
      </c>
      <c r="C444" s="12">
        <v>443</v>
      </c>
      <c r="D444" s="125" t="s">
        <v>633</v>
      </c>
      <c r="E444" s="126" t="s">
        <v>633</v>
      </c>
      <c r="F444" s="12" t="s">
        <v>403</v>
      </c>
      <c r="G444" s="126" t="s">
        <v>2610</v>
      </c>
      <c r="H444" s="12" t="s">
        <v>1132</v>
      </c>
      <c r="I444" s="126" t="s">
        <v>634</v>
      </c>
      <c r="J444" s="12">
        <v>2020</v>
      </c>
      <c r="K444" s="12">
        <v>2022</v>
      </c>
      <c r="L444" s="126" t="s">
        <v>628</v>
      </c>
      <c r="M444" s="15" t="s">
        <v>3070</v>
      </c>
      <c r="N444" s="12"/>
      <c r="O444" s="15" t="s">
        <v>763</v>
      </c>
      <c r="P444" s="12" t="s">
        <v>538</v>
      </c>
      <c r="Q444" s="16" t="s">
        <v>891</v>
      </c>
      <c r="R444" s="15" t="s">
        <v>892</v>
      </c>
      <c r="S444" s="28" t="s">
        <v>2631</v>
      </c>
      <c r="T444" s="12">
        <v>0</v>
      </c>
      <c r="U444" s="12"/>
      <c r="V444" s="17"/>
      <c r="W444" s="38"/>
      <c r="X444" s="12"/>
      <c r="Y444" s="17"/>
      <c r="Z444" s="83">
        <v>3200</v>
      </c>
      <c r="AA444" s="123" t="s">
        <v>2805</v>
      </c>
    </row>
    <row r="445" spans="1:27" s="78" customFormat="1" ht="227.5">
      <c r="A445" s="17" t="s">
        <v>548</v>
      </c>
      <c r="B445" s="17" t="s">
        <v>549</v>
      </c>
      <c r="C445" s="12">
        <v>444</v>
      </c>
      <c r="D445" s="125" t="s">
        <v>630</v>
      </c>
      <c r="E445" s="126" t="s">
        <v>630</v>
      </c>
      <c r="F445" s="12" t="s">
        <v>403</v>
      </c>
      <c r="G445" s="126" t="s">
        <v>2610</v>
      </c>
      <c r="H445" s="12" t="s">
        <v>1132</v>
      </c>
      <c r="I445" s="126" t="s">
        <v>631</v>
      </c>
      <c r="J445" s="12">
        <v>2021</v>
      </c>
      <c r="K445" s="12">
        <v>2023</v>
      </c>
      <c r="L445" s="126" t="s">
        <v>628</v>
      </c>
      <c r="M445" s="15" t="s">
        <v>3070</v>
      </c>
      <c r="N445" s="12"/>
      <c r="O445" s="15" t="s">
        <v>763</v>
      </c>
      <c r="P445" s="12" t="s">
        <v>538</v>
      </c>
      <c r="Q445" s="16" t="s">
        <v>891</v>
      </c>
      <c r="R445" s="15" t="s">
        <v>892</v>
      </c>
      <c r="S445" s="28" t="s">
        <v>2629</v>
      </c>
      <c r="T445" s="12">
        <v>1</v>
      </c>
      <c r="U445" s="12" t="s">
        <v>1316</v>
      </c>
      <c r="V445" s="17" t="s">
        <v>632</v>
      </c>
      <c r="W445" s="38" t="s">
        <v>1315</v>
      </c>
      <c r="X445" s="12" t="s">
        <v>2970</v>
      </c>
      <c r="Y445" s="17" t="s">
        <v>576</v>
      </c>
      <c r="Z445" s="83">
        <v>3200</v>
      </c>
      <c r="AA445" s="83"/>
    </row>
    <row r="446" spans="1:27" s="78" customFormat="1" ht="122.5">
      <c r="A446" s="17" t="s">
        <v>548</v>
      </c>
      <c r="B446" s="30" t="s">
        <v>566</v>
      </c>
      <c r="C446" s="12">
        <v>445</v>
      </c>
      <c r="D446" s="112" t="s">
        <v>1961</v>
      </c>
      <c r="E446" s="30" t="s">
        <v>1962</v>
      </c>
      <c r="F446" s="17" t="s">
        <v>298</v>
      </c>
      <c r="G446" s="17" t="s">
        <v>1055</v>
      </c>
      <c r="H446" s="17" t="s">
        <v>389</v>
      </c>
      <c r="I446" s="49" t="s">
        <v>1963</v>
      </c>
      <c r="J446" s="17">
        <v>2024</v>
      </c>
      <c r="K446" s="17">
        <v>2024</v>
      </c>
      <c r="L446" s="30" t="s">
        <v>1964</v>
      </c>
      <c r="M446" s="30"/>
      <c r="N446" s="17"/>
      <c r="O446" s="30" t="s">
        <v>604</v>
      </c>
      <c r="P446" s="17" t="s">
        <v>57</v>
      </c>
      <c r="Q446" s="30" t="s">
        <v>891</v>
      </c>
      <c r="R446" s="30" t="s">
        <v>892</v>
      </c>
      <c r="S446" s="28" t="s">
        <v>2631</v>
      </c>
      <c r="T446" s="12">
        <v>0</v>
      </c>
      <c r="U446" s="12"/>
      <c r="V446" s="17"/>
      <c r="W446" s="38"/>
      <c r="X446" s="12"/>
      <c r="Y446" s="17"/>
      <c r="Z446" s="123"/>
      <c r="AA446" s="83"/>
    </row>
    <row r="447" spans="1:27" s="78" customFormat="1" ht="52.5">
      <c r="A447" s="17" t="s">
        <v>548</v>
      </c>
      <c r="B447" s="32" t="s">
        <v>592</v>
      </c>
      <c r="C447" s="12">
        <v>446</v>
      </c>
      <c r="D447" s="128" t="s">
        <v>2026</v>
      </c>
      <c r="E447" s="129" t="s">
        <v>2026</v>
      </c>
      <c r="F447" s="116" t="s">
        <v>659</v>
      </c>
      <c r="G447" s="116" t="s">
        <v>2617</v>
      </c>
      <c r="H447" s="17" t="s">
        <v>164</v>
      </c>
      <c r="I447" s="128" t="s">
        <v>2027</v>
      </c>
      <c r="J447" s="17">
        <v>2024</v>
      </c>
      <c r="K447" s="17">
        <v>2027</v>
      </c>
      <c r="L447" s="32" t="s">
        <v>734</v>
      </c>
      <c r="M447" s="15"/>
      <c r="N447" s="12"/>
      <c r="O447" s="15" t="s">
        <v>604</v>
      </c>
      <c r="P447" s="12" t="s">
        <v>57</v>
      </c>
      <c r="Q447" s="16" t="s">
        <v>891</v>
      </c>
      <c r="R447" s="15" t="s">
        <v>1331</v>
      </c>
      <c r="S447" s="28" t="s">
        <v>2631</v>
      </c>
      <c r="T447" s="12">
        <v>0</v>
      </c>
      <c r="U447" s="12"/>
      <c r="V447" s="17"/>
      <c r="W447" s="38"/>
      <c r="X447" s="12"/>
      <c r="Y447" s="17"/>
      <c r="Z447" s="83">
        <v>3400</v>
      </c>
      <c r="AA447" s="83"/>
    </row>
    <row r="448" spans="1:27" s="78" customFormat="1" ht="35">
      <c r="A448" s="17" t="s">
        <v>548</v>
      </c>
      <c r="B448" s="17" t="s">
        <v>592</v>
      </c>
      <c r="C448" s="12">
        <v>447</v>
      </c>
      <c r="D448" s="37" t="s">
        <v>2024</v>
      </c>
      <c r="E448" s="31" t="s">
        <v>2024</v>
      </c>
      <c r="F448" s="17" t="s">
        <v>659</v>
      </c>
      <c r="G448" s="17" t="s">
        <v>2617</v>
      </c>
      <c r="H448" s="17" t="s">
        <v>54</v>
      </c>
      <c r="I448" s="37" t="s">
        <v>2025</v>
      </c>
      <c r="J448" s="17">
        <v>2024</v>
      </c>
      <c r="K448" s="17">
        <v>2027</v>
      </c>
      <c r="L448" s="31" t="s">
        <v>734</v>
      </c>
      <c r="M448" s="30"/>
      <c r="N448" s="30"/>
      <c r="O448" s="16" t="s">
        <v>604</v>
      </c>
      <c r="P448" s="13" t="s">
        <v>57</v>
      </c>
      <c r="Q448" s="16" t="s">
        <v>891</v>
      </c>
      <c r="R448" s="16" t="s">
        <v>1331</v>
      </c>
      <c r="S448" s="28" t="s">
        <v>2631</v>
      </c>
      <c r="T448" s="12">
        <v>0</v>
      </c>
      <c r="U448" s="12"/>
      <c r="V448" s="17"/>
      <c r="W448" s="38"/>
      <c r="X448" s="12"/>
      <c r="Y448" s="17"/>
      <c r="Z448" s="123"/>
      <c r="AA448" s="83"/>
    </row>
    <row r="449" spans="1:27" s="78" customFormat="1" ht="35">
      <c r="A449" s="17" t="s">
        <v>548</v>
      </c>
      <c r="B449" s="17" t="s">
        <v>592</v>
      </c>
      <c r="C449" s="12">
        <v>448</v>
      </c>
      <c r="D449" s="128" t="s">
        <v>671</v>
      </c>
      <c r="E449" s="129" t="s">
        <v>671</v>
      </c>
      <c r="F449" s="12" t="s">
        <v>130</v>
      </c>
      <c r="G449" s="130" t="s">
        <v>666</v>
      </c>
      <c r="H449" s="12" t="s">
        <v>1132</v>
      </c>
      <c r="I449" s="128" t="s">
        <v>672</v>
      </c>
      <c r="J449" s="12">
        <v>2020</v>
      </c>
      <c r="K449" s="12">
        <v>2023</v>
      </c>
      <c r="L449" s="129" t="s">
        <v>673</v>
      </c>
      <c r="M449" s="64"/>
      <c r="N449" s="64" t="s">
        <v>3075</v>
      </c>
      <c r="O449" s="16" t="s">
        <v>604</v>
      </c>
      <c r="P449" s="12" t="s">
        <v>57</v>
      </c>
      <c r="Q449" s="16" t="s">
        <v>891</v>
      </c>
      <c r="R449" s="15" t="s">
        <v>1331</v>
      </c>
      <c r="S449" s="28" t="s">
        <v>2631</v>
      </c>
      <c r="T449" s="12">
        <v>0</v>
      </c>
      <c r="U449" s="12"/>
      <c r="V449" s="17"/>
      <c r="W449" s="38"/>
      <c r="X449" s="12"/>
      <c r="Y449" s="17"/>
      <c r="Z449" s="83">
        <v>3400</v>
      </c>
      <c r="AA449" s="66"/>
    </row>
    <row r="450" spans="1:27" s="78" customFormat="1" ht="87.5">
      <c r="A450" s="17" t="s">
        <v>548</v>
      </c>
      <c r="B450" s="31" t="s">
        <v>592</v>
      </c>
      <c r="C450" s="12">
        <v>449</v>
      </c>
      <c r="D450" s="38" t="s">
        <v>1110</v>
      </c>
      <c r="E450" s="15" t="s">
        <v>1111</v>
      </c>
      <c r="F450" s="12" t="s">
        <v>298</v>
      </c>
      <c r="G450" s="12" t="s">
        <v>727</v>
      </c>
      <c r="H450" s="12" t="s">
        <v>164</v>
      </c>
      <c r="I450" s="31" t="s">
        <v>728</v>
      </c>
      <c r="J450" s="12">
        <v>2023</v>
      </c>
      <c r="K450" s="12">
        <v>2024</v>
      </c>
      <c r="L450" s="15" t="s">
        <v>1112</v>
      </c>
      <c r="M450" s="15" t="s">
        <v>1113</v>
      </c>
      <c r="N450" s="12"/>
      <c r="O450" s="15" t="s">
        <v>765</v>
      </c>
      <c r="P450" s="12" t="s">
        <v>57</v>
      </c>
      <c r="Q450" s="16" t="s">
        <v>891</v>
      </c>
      <c r="R450" s="15" t="s">
        <v>1331</v>
      </c>
      <c r="S450" s="28" t="s">
        <v>2631</v>
      </c>
      <c r="T450" s="12">
        <v>0</v>
      </c>
      <c r="U450" s="12"/>
      <c r="V450" s="17"/>
      <c r="W450" s="38"/>
      <c r="X450" s="12"/>
      <c r="Y450" s="17"/>
      <c r="Z450" s="83">
        <v>3400</v>
      </c>
      <c r="AA450" s="83"/>
    </row>
    <row r="451" spans="1:27" s="78" customFormat="1" ht="70">
      <c r="A451" s="17" t="s">
        <v>548</v>
      </c>
      <c r="B451" s="31" t="s">
        <v>592</v>
      </c>
      <c r="C451" s="12">
        <v>450</v>
      </c>
      <c r="D451" s="38" t="s">
        <v>1115</v>
      </c>
      <c r="E451" s="15" t="s">
        <v>1100</v>
      </c>
      <c r="F451" s="12" t="s">
        <v>298</v>
      </c>
      <c r="G451" s="12" t="s">
        <v>727</v>
      </c>
      <c r="H451" s="12" t="s">
        <v>164</v>
      </c>
      <c r="I451" s="31" t="s">
        <v>729</v>
      </c>
      <c r="J451" s="12">
        <v>2023</v>
      </c>
      <c r="K451" s="12">
        <v>2024</v>
      </c>
      <c r="L451" s="15" t="s">
        <v>1112</v>
      </c>
      <c r="M451" s="15" t="s">
        <v>1114</v>
      </c>
      <c r="N451" s="12"/>
      <c r="O451" s="15" t="s">
        <v>604</v>
      </c>
      <c r="P451" s="12" t="s">
        <v>57</v>
      </c>
      <c r="Q451" s="16" t="s">
        <v>891</v>
      </c>
      <c r="R451" s="15" t="s">
        <v>1331</v>
      </c>
      <c r="S451" s="28" t="s">
        <v>2631</v>
      </c>
      <c r="T451" s="12">
        <v>0</v>
      </c>
      <c r="U451" s="12"/>
      <c r="V451" s="17"/>
      <c r="W451" s="38"/>
      <c r="X451" s="12"/>
      <c r="Y451" s="17"/>
      <c r="Z451" s="83">
        <v>3400</v>
      </c>
      <c r="AA451" s="83"/>
    </row>
    <row r="452" spans="1:27" s="78" customFormat="1" ht="105">
      <c r="A452" s="17" t="s">
        <v>548</v>
      </c>
      <c r="B452" s="30" t="s">
        <v>592</v>
      </c>
      <c r="C452" s="12">
        <v>451</v>
      </c>
      <c r="D452" s="38" t="s">
        <v>1097</v>
      </c>
      <c r="E452" s="15" t="s">
        <v>1098</v>
      </c>
      <c r="F452" s="12" t="s">
        <v>298</v>
      </c>
      <c r="G452" s="12" t="s">
        <v>727</v>
      </c>
      <c r="H452" s="12" t="s">
        <v>164</v>
      </c>
      <c r="I452" s="49" t="s">
        <v>723</v>
      </c>
      <c r="J452" s="12">
        <v>2021</v>
      </c>
      <c r="K452" s="12">
        <v>2027</v>
      </c>
      <c r="L452" s="17" t="s">
        <v>724</v>
      </c>
      <c r="M452" s="15"/>
      <c r="N452" s="12"/>
      <c r="O452" s="15" t="s">
        <v>604</v>
      </c>
      <c r="P452" s="12" t="s">
        <v>57</v>
      </c>
      <c r="Q452" s="16" t="s">
        <v>891</v>
      </c>
      <c r="R452" s="15" t="s">
        <v>1331</v>
      </c>
      <c r="S452" s="28" t="s">
        <v>2631</v>
      </c>
      <c r="T452" s="12">
        <v>0</v>
      </c>
      <c r="U452" s="12"/>
      <c r="V452" s="17"/>
      <c r="W452" s="38"/>
      <c r="X452" s="12"/>
      <c r="Y452" s="17"/>
      <c r="Z452" s="83">
        <v>3400</v>
      </c>
      <c r="AA452" s="83"/>
    </row>
    <row r="453" spans="1:27" s="78" customFormat="1" ht="105">
      <c r="A453" s="17" t="s">
        <v>548</v>
      </c>
      <c r="B453" s="30" t="s">
        <v>592</v>
      </c>
      <c r="C453" s="12">
        <v>452</v>
      </c>
      <c r="D453" s="38" t="s">
        <v>1097</v>
      </c>
      <c r="E453" s="15" t="s">
        <v>1099</v>
      </c>
      <c r="F453" s="12" t="s">
        <v>298</v>
      </c>
      <c r="G453" s="12" t="s">
        <v>727</v>
      </c>
      <c r="H453" s="12" t="s">
        <v>164</v>
      </c>
      <c r="I453" s="49" t="s">
        <v>723</v>
      </c>
      <c r="J453" s="12">
        <v>2021</v>
      </c>
      <c r="K453" s="12">
        <v>2027</v>
      </c>
      <c r="L453" s="17" t="s">
        <v>724</v>
      </c>
      <c r="M453" s="15"/>
      <c r="N453" s="12"/>
      <c r="O453" s="15" t="s">
        <v>604</v>
      </c>
      <c r="P453" s="12" t="s">
        <v>57</v>
      </c>
      <c r="Q453" s="16" t="s">
        <v>891</v>
      </c>
      <c r="R453" s="15" t="s">
        <v>1331</v>
      </c>
      <c r="S453" s="28" t="s">
        <v>2631</v>
      </c>
      <c r="T453" s="12">
        <v>0</v>
      </c>
      <c r="U453" s="12"/>
      <c r="V453" s="17"/>
      <c r="W453" s="38"/>
      <c r="X453" s="12"/>
      <c r="Y453" s="17"/>
      <c r="Z453" s="83">
        <v>3400</v>
      </c>
      <c r="AA453" s="83"/>
    </row>
    <row r="454" spans="1:27" s="78" customFormat="1" ht="105">
      <c r="A454" s="17" t="s">
        <v>548</v>
      </c>
      <c r="B454" s="30" t="s">
        <v>592</v>
      </c>
      <c r="C454" s="12">
        <v>453</v>
      </c>
      <c r="D454" s="38" t="s">
        <v>1096</v>
      </c>
      <c r="E454" s="15" t="s">
        <v>1100</v>
      </c>
      <c r="F454" s="12" t="s">
        <v>298</v>
      </c>
      <c r="G454" s="12" t="s">
        <v>727</v>
      </c>
      <c r="H454" s="12" t="s">
        <v>164</v>
      </c>
      <c r="I454" s="49" t="s">
        <v>723</v>
      </c>
      <c r="J454" s="12">
        <v>2021</v>
      </c>
      <c r="K454" s="12">
        <v>2027</v>
      </c>
      <c r="L454" s="17" t="s">
        <v>724</v>
      </c>
      <c r="M454" s="15"/>
      <c r="N454" s="12"/>
      <c r="O454" s="15" t="s">
        <v>604</v>
      </c>
      <c r="P454" s="12" t="s">
        <v>57</v>
      </c>
      <c r="Q454" s="16" t="s">
        <v>891</v>
      </c>
      <c r="R454" s="15" t="s">
        <v>1331</v>
      </c>
      <c r="S454" s="28" t="s">
        <v>2631</v>
      </c>
      <c r="T454" s="12">
        <v>0</v>
      </c>
      <c r="U454" s="12"/>
      <c r="V454" s="17"/>
      <c r="W454" s="38"/>
      <c r="X454" s="12"/>
      <c r="Y454" s="17"/>
      <c r="Z454" s="83">
        <v>3400</v>
      </c>
      <c r="AA454" s="83"/>
    </row>
    <row r="455" spans="1:27" s="78" customFormat="1" ht="105">
      <c r="A455" s="17" t="s">
        <v>548</v>
      </c>
      <c r="B455" s="30" t="s">
        <v>592</v>
      </c>
      <c r="C455" s="12">
        <v>454</v>
      </c>
      <c r="D455" s="38" t="s">
        <v>1096</v>
      </c>
      <c r="E455" s="15" t="s">
        <v>1101</v>
      </c>
      <c r="F455" s="12" t="s">
        <v>298</v>
      </c>
      <c r="G455" s="12" t="s">
        <v>727</v>
      </c>
      <c r="H455" s="12" t="s">
        <v>164</v>
      </c>
      <c r="I455" s="49" t="s">
        <v>723</v>
      </c>
      <c r="J455" s="12">
        <v>2021</v>
      </c>
      <c r="K455" s="12">
        <v>2027</v>
      </c>
      <c r="L455" s="17" t="s">
        <v>724</v>
      </c>
      <c r="M455" s="15"/>
      <c r="N455" s="12"/>
      <c r="O455" s="15" t="s">
        <v>604</v>
      </c>
      <c r="P455" s="12" t="s">
        <v>57</v>
      </c>
      <c r="Q455" s="16" t="s">
        <v>891</v>
      </c>
      <c r="R455" s="15" t="s">
        <v>1331</v>
      </c>
      <c r="S455" s="28" t="s">
        <v>2631</v>
      </c>
      <c r="T455" s="12">
        <v>0</v>
      </c>
      <c r="U455" s="12"/>
      <c r="V455" s="17"/>
      <c r="W455" s="38"/>
      <c r="X455" s="12"/>
      <c r="Y455" s="17"/>
      <c r="Z455" s="83">
        <v>3400</v>
      </c>
      <c r="AA455" s="83"/>
    </row>
    <row r="456" spans="1:27" s="78" customFormat="1" ht="105">
      <c r="A456" s="17" t="s">
        <v>548</v>
      </c>
      <c r="B456" s="30" t="s">
        <v>592</v>
      </c>
      <c r="C456" s="12">
        <v>455</v>
      </c>
      <c r="D456" s="38" t="s">
        <v>1096</v>
      </c>
      <c r="E456" s="15" t="s">
        <v>1102</v>
      </c>
      <c r="F456" s="12" t="s">
        <v>298</v>
      </c>
      <c r="G456" s="12" t="s">
        <v>727</v>
      </c>
      <c r="H456" s="12" t="s">
        <v>164</v>
      </c>
      <c r="I456" s="49" t="s">
        <v>723</v>
      </c>
      <c r="J456" s="12">
        <v>2021</v>
      </c>
      <c r="K456" s="12">
        <v>2027</v>
      </c>
      <c r="L456" s="17" t="s">
        <v>724</v>
      </c>
      <c r="M456" s="15"/>
      <c r="N456" s="12"/>
      <c r="O456" s="15" t="s">
        <v>604</v>
      </c>
      <c r="P456" s="12" t="s">
        <v>57</v>
      </c>
      <c r="Q456" s="16" t="s">
        <v>891</v>
      </c>
      <c r="R456" s="15" t="s">
        <v>1331</v>
      </c>
      <c r="S456" s="28" t="s">
        <v>2631</v>
      </c>
      <c r="T456" s="12">
        <v>0</v>
      </c>
      <c r="U456" s="12"/>
      <c r="V456" s="17"/>
      <c r="W456" s="38"/>
      <c r="X456" s="12"/>
      <c r="Y456" s="17"/>
      <c r="Z456" s="83">
        <v>3400</v>
      </c>
      <c r="AA456" s="83"/>
    </row>
    <row r="457" spans="1:27" s="78" customFormat="1" ht="105">
      <c r="A457" s="17" t="s">
        <v>548</v>
      </c>
      <c r="B457" s="30" t="s">
        <v>592</v>
      </c>
      <c r="C457" s="12">
        <v>456</v>
      </c>
      <c r="D457" s="38" t="s">
        <v>1096</v>
      </c>
      <c r="E457" s="15" t="s">
        <v>1103</v>
      </c>
      <c r="F457" s="12" t="s">
        <v>298</v>
      </c>
      <c r="G457" s="12" t="s">
        <v>727</v>
      </c>
      <c r="H457" s="12" t="s">
        <v>164</v>
      </c>
      <c r="I457" s="49" t="s">
        <v>723</v>
      </c>
      <c r="J457" s="12">
        <v>2021</v>
      </c>
      <c r="K457" s="12">
        <v>2027</v>
      </c>
      <c r="L457" s="17" t="s">
        <v>724</v>
      </c>
      <c r="M457" s="15"/>
      <c r="N457" s="12"/>
      <c r="O457" s="15" t="s">
        <v>604</v>
      </c>
      <c r="P457" s="12" t="s">
        <v>57</v>
      </c>
      <c r="Q457" s="16" t="s">
        <v>891</v>
      </c>
      <c r="R457" s="15" t="s">
        <v>1331</v>
      </c>
      <c r="S457" s="28" t="s">
        <v>2631</v>
      </c>
      <c r="T457" s="12">
        <v>0</v>
      </c>
      <c r="U457" s="12"/>
      <c r="V457" s="17"/>
      <c r="W457" s="38"/>
      <c r="X457" s="12"/>
      <c r="Y457" s="17"/>
      <c r="Z457" s="83">
        <v>3400</v>
      </c>
      <c r="AA457" s="83"/>
    </row>
    <row r="458" spans="1:27" s="78" customFormat="1" ht="52.5">
      <c r="A458" s="17" t="s">
        <v>548</v>
      </c>
      <c r="B458" s="17" t="s">
        <v>592</v>
      </c>
      <c r="C458" s="12">
        <v>457</v>
      </c>
      <c r="D458" s="128" t="s">
        <v>1322</v>
      </c>
      <c r="E458" s="63" t="s">
        <v>2535</v>
      </c>
      <c r="F458" s="12" t="s">
        <v>659</v>
      </c>
      <c r="G458" s="130" t="s">
        <v>660</v>
      </c>
      <c r="H458" s="12" t="s">
        <v>1132</v>
      </c>
      <c r="I458" s="128" t="s">
        <v>661</v>
      </c>
      <c r="J458" s="12">
        <v>2023</v>
      </c>
      <c r="K458" s="12">
        <v>2023</v>
      </c>
      <c r="L458" s="129" t="s">
        <v>662</v>
      </c>
      <c r="M458" s="64"/>
      <c r="N458" s="64"/>
      <c r="O458" s="16" t="s">
        <v>604</v>
      </c>
      <c r="P458" s="12" t="s">
        <v>57</v>
      </c>
      <c r="Q458" s="16" t="s">
        <v>891</v>
      </c>
      <c r="R458" s="15" t="s">
        <v>1331</v>
      </c>
      <c r="S458" s="28" t="s">
        <v>2631</v>
      </c>
      <c r="T458" s="12">
        <v>0</v>
      </c>
      <c r="U458" s="12"/>
      <c r="V458" s="17"/>
      <c r="W458" s="38"/>
      <c r="X458" s="12"/>
      <c r="Y458" s="17"/>
      <c r="Z458" s="83">
        <v>3400</v>
      </c>
      <c r="AA458" s="83"/>
    </row>
    <row r="459" spans="1:27" s="78" customFormat="1" ht="70">
      <c r="A459" s="17" t="s">
        <v>548</v>
      </c>
      <c r="B459" s="31" t="s">
        <v>592</v>
      </c>
      <c r="C459" s="12">
        <v>458</v>
      </c>
      <c r="D459" s="37" t="s">
        <v>1116</v>
      </c>
      <c r="E459" s="15" t="s">
        <v>1117</v>
      </c>
      <c r="F459" s="12" t="s">
        <v>298</v>
      </c>
      <c r="G459" s="12" t="s">
        <v>730</v>
      </c>
      <c r="H459" s="12" t="s">
        <v>408</v>
      </c>
      <c r="I459" s="31" t="s">
        <v>731</v>
      </c>
      <c r="J459" s="12">
        <v>2023</v>
      </c>
      <c r="K459" s="12">
        <v>2024</v>
      </c>
      <c r="L459" s="31" t="s">
        <v>732</v>
      </c>
      <c r="M459" s="15"/>
      <c r="N459" s="12"/>
      <c r="O459" s="15" t="s">
        <v>604</v>
      </c>
      <c r="P459" s="12" t="s">
        <v>57</v>
      </c>
      <c r="Q459" s="16" t="s">
        <v>891</v>
      </c>
      <c r="R459" s="15" t="s">
        <v>1331</v>
      </c>
      <c r="S459" s="28" t="s">
        <v>2631</v>
      </c>
      <c r="T459" s="12">
        <v>0</v>
      </c>
      <c r="U459" s="12"/>
      <c r="V459" s="17"/>
      <c r="W459" s="38"/>
      <c r="X459" s="12"/>
      <c r="Y459" s="17"/>
      <c r="Z459" s="83">
        <v>3400</v>
      </c>
      <c r="AA459" s="123"/>
    </row>
    <row r="460" spans="1:27" s="78" customFormat="1" ht="70">
      <c r="A460" s="17" t="s">
        <v>548</v>
      </c>
      <c r="B460" s="31" t="s">
        <v>592</v>
      </c>
      <c r="C460" s="12">
        <v>459</v>
      </c>
      <c r="D460" s="37" t="s">
        <v>1118</v>
      </c>
      <c r="E460" s="15" t="s">
        <v>1119</v>
      </c>
      <c r="F460" s="12" t="s">
        <v>298</v>
      </c>
      <c r="G460" s="12" t="s">
        <v>730</v>
      </c>
      <c r="H460" s="12" t="s">
        <v>408</v>
      </c>
      <c r="I460" s="31" t="s">
        <v>731</v>
      </c>
      <c r="J460" s="12">
        <v>2023</v>
      </c>
      <c r="K460" s="12">
        <v>2024</v>
      </c>
      <c r="L460" s="31" t="s">
        <v>732</v>
      </c>
      <c r="M460" s="15"/>
      <c r="N460" s="12"/>
      <c r="O460" s="15" t="s">
        <v>604</v>
      </c>
      <c r="P460" s="12" t="s">
        <v>57</v>
      </c>
      <c r="Q460" s="16" t="s">
        <v>891</v>
      </c>
      <c r="R460" s="15" t="s">
        <v>1331</v>
      </c>
      <c r="S460" s="28" t="s">
        <v>2631</v>
      </c>
      <c r="T460" s="12">
        <v>0</v>
      </c>
      <c r="U460" s="12"/>
      <c r="V460" s="17"/>
      <c r="W460" s="38"/>
      <c r="X460" s="12"/>
      <c r="Y460" s="17"/>
      <c r="Z460" s="83">
        <v>3400</v>
      </c>
      <c r="AA460" s="83" t="s">
        <v>2805</v>
      </c>
    </row>
    <row r="461" spans="1:27" s="78" customFormat="1" ht="70">
      <c r="A461" s="17" t="s">
        <v>548</v>
      </c>
      <c r="B461" s="31" t="s">
        <v>592</v>
      </c>
      <c r="C461" s="12">
        <v>460</v>
      </c>
      <c r="D461" s="37" t="s">
        <v>1120</v>
      </c>
      <c r="E461" s="15" t="s">
        <v>1121</v>
      </c>
      <c r="F461" s="12" t="s">
        <v>298</v>
      </c>
      <c r="G461" s="12" t="s">
        <v>730</v>
      </c>
      <c r="H461" s="12" t="s">
        <v>408</v>
      </c>
      <c r="I461" s="31" t="s">
        <v>731</v>
      </c>
      <c r="J461" s="12">
        <v>2023</v>
      </c>
      <c r="K461" s="12">
        <v>2024</v>
      </c>
      <c r="L461" s="31" t="s">
        <v>732</v>
      </c>
      <c r="M461" s="15"/>
      <c r="N461" s="12"/>
      <c r="O461" s="15" t="s">
        <v>604</v>
      </c>
      <c r="P461" s="12" t="s">
        <v>57</v>
      </c>
      <c r="Q461" s="16" t="s">
        <v>891</v>
      </c>
      <c r="R461" s="15" t="s">
        <v>1331</v>
      </c>
      <c r="S461" s="28" t="s">
        <v>2631</v>
      </c>
      <c r="T461" s="12">
        <v>0</v>
      </c>
      <c r="U461" s="12"/>
      <c r="V461" s="17"/>
      <c r="W461" s="38"/>
      <c r="X461" s="12"/>
      <c r="Y461" s="17"/>
      <c r="Z461" s="83">
        <v>3400</v>
      </c>
      <c r="AA461" s="83" t="s">
        <v>2805</v>
      </c>
    </row>
    <row r="462" spans="1:27" s="78" customFormat="1" ht="87.5">
      <c r="A462" s="17" t="s">
        <v>548</v>
      </c>
      <c r="B462" s="30" t="s">
        <v>592</v>
      </c>
      <c r="C462" s="12">
        <v>461</v>
      </c>
      <c r="D462" s="38" t="s">
        <v>1090</v>
      </c>
      <c r="E462" s="15" t="s">
        <v>1091</v>
      </c>
      <c r="F462" s="12" t="s">
        <v>298</v>
      </c>
      <c r="G462" s="12" t="s">
        <v>727</v>
      </c>
      <c r="H462" s="12" t="s">
        <v>164</v>
      </c>
      <c r="I462" s="49" t="s">
        <v>718</v>
      </c>
      <c r="J462" s="12">
        <v>2022</v>
      </c>
      <c r="K462" s="12">
        <v>2023</v>
      </c>
      <c r="L462" s="15" t="s">
        <v>719</v>
      </c>
      <c r="M462" s="15"/>
      <c r="N462" s="12"/>
      <c r="O462" s="15" t="s">
        <v>604</v>
      </c>
      <c r="P462" s="12" t="s">
        <v>57</v>
      </c>
      <c r="Q462" s="16" t="s">
        <v>891</v>
      </c>
      <c r="R462" s="15" t="s">
        <v>892</v>
      </c>
      <c r="S462" s="28" t="s">
        <v>2631</v>
      </c>
      <c r="T462" s="12">
        <v>0</v>
      </c>
      <c r="U462" s="12"/>
      <c r="V462" s="17"/>
      <c r="W462" s="38"/>
      <c r="X462" s="12"/>
      <c r="Y462" s="17"/>
      <c r="Z462" s="83">
        <v>3400</v>
      </c>
      <c r="AA462" s="83"/>
    </row>
    <row r="463" spans="1:27" s="78" customFormat="1" ht="87.5">
      <c r="A463" s="17" t="s">
        <v>548</v>
      </c>
      <c r="B463" s="30" t="s">
        <v>592</v>
      </c>
      <c r="C463" s="12">
        <v>462</v>
      </c>
      <c r="D463" s="38" t="s">
        <v>1092</v>
      </c>
      <c r="E463" s="15" t="s">
        <v>1093</v>
      </c>
      <c r="F463" s="12" t="s">
        <v>298</v>
      </c>
      <c r="G463" s="12" t="s">
        <v>727</v>
      </c>
      <c r="H463" s="12" t="s">
        <v>389</v>
      </c>
      <c r="I463" s="49" t="s">
        <v>720</v>
      </c>
      <c r="J463" s="12">
        <v>2022</v>
      </c>
      <c r="K463" s="12">
        <v>2025</v>
      </c>
      <c r="L463" s="15" t="s">
        <v>719</v>
      </c>
      <c r="M463" s="15"/>
      <c r="N463" s="12"/>
      <c r="O463" s="15" t="s">
        <v>604</v>
      </c>
      <c r="P463" s="12" t="s">
        <v>57</v>
      </c>
      <c r="Q463" s="16" t="s">
        <v>891</v>
      </c>
      <c r="R463" s="15" t="s">
        <v>892</v>
      </c>
      <c r="S463" s="28" t="s">
        <v>2631</v>
      </c>
      <c r="T463" s="12">
        <v>0</v>
      </c>
      <c r="U463" s="12"/>
      <c r="V463" s="17"/>
      <c r="W463" s="38"/>
      <c r="X463" s="12"/>
      <c r="Y463" s="17"/>
      <c r="Z463" s="83">
        <v>3400</v>
      </c>
      <c r="AA463" s="83"/>
    </row>
    <row r="464" spans="1:27" s="78" customFormat="1" ht="105">
      <c r="A464" s="17" t="s">
        <v>548</v>
      </c>
      <c r="B464" s="32" t="s">
        <v>592</v>
      </c>
      <c r="C464" s="12">
        <v>463</v>
      </c>
      <c r="D464" s="37" t="s">
        <v>1582</v>
      </c>
      <c r="E464" s="64" t="s">
        <v>1694</v>
      </c>
      <c r="F464" s="116" t="s">
        <v>659</v>
      </c>
      <c r="G464" s="32" t="s">
        <v>793</v>
      </c>
      <c r="H464" s="116" t="s">
        <v>1132</v>
      </c>
      <c r="I464" s="37" t="s">
        <v>596</v>
      </c>
      <c r="J464" s="116">
        <v>2001</v>
      </c>
      <c r="K464" s="32">
        <v>2006</v>
      </c>
      <c r="L464" s="32" t="s">
        <v>597</v>
      </c>
      <c r="M464" s="15"/>
      <c r="N464" s="12"/>
      <c r="O464" s="16" t="s">
        <v>59</v>
      </c>
      <c r="P464" s="31" t="s">
        <v>10</v>
      </c>
      <c r="Q464" s="16" t="s">
        <v>891</v>
      </c>
      <c r="R464" s="15" t="s">
        <v>93</v>
      </c>
      <c r="S464" s="28" t="s">
        <v>2631</v>
      </c>
      <c r="T464" s="12">
        <v>0</v>
      </c>
      <c r="U464" s="12"/>
      <c r="V464" s="17"/>
      <c r="W464" s="38"/>
      <c r="X464" s="12"/>
      <c r="Y464" s="17"/>
      <c r="Z464" s="83">
        <v>3400</v>
      </c>
      <c r="AA464" s="83"/>
    </row>
    <row r="465" spans="1:27" s="78" customFormat="1" ht="105">
      <c r="A465" s="17" t="s">
        <v>548</v>
      </c>
      <c r="B465" s="32" t="s">
        <v>592</v>
      </c>
      <c r="C465" s="12">
        <v>464</v>
      </c>
      <c r="D465" s="37" t="s">
        <v>1583</v>
      </c>
      <c r="E465" s="64" t="s">
        <v>1695</v>
      </c>
      <c r="F465" s="116" t="s">
        <v>659</v>
      </c>
      <c r="G465" s="32" t="s">
        <v>71</v>
      </c>
      <c r="H465" s="116" t="s">
        <v>1132</v>
      </c>
      <c r="I465" s="37" t="s">
        <v>598</v>
      </c>
      <c r="J465" s="116">
        <v>2009</v>
      </c>
      <c r="K465" s="32">
        <v>2011</v>
      </c>
      <c r="L465" s="32" t="s">
        <v>597</v>
      </c>
      <c r="M465" s="15"/>
      <c r="N465" s="12"/>
      <c r="O465" s="16" t="s">
        <v>59</v>
      </c>
      <c r="P465" s="31" t="s">
        <v>10</v>
      </c>
      <c r="Q465" s="16" t="s">
        <v>891</v>
      </c>
      <c r="R465" s="15" t="s">
        <v>93</v>
      </c>
      <c r="S465" s="28" t="s">
        <v>2631</v>
      </c>
      <c r="T465" s="12">
        <v>0</v>
      </c>
      <c r="U465" s="12"/>
      <c r="V465" s="17"/>
      <c r="W465" s="38"/>
      <c r="X465" s="12"/>
      <c r="Y465" s="17"/>
      <c r="Z465" s="83">
        <v>3400</v>
      </c>
      <c r="AA465" s="83"/>
    </row>
    <row r="466" spans="1:27" s="78" customFormat="1" ht="157.5">
      <c r="A466" s="17" t="s">
        <v>548</v>
      </c>
      <c r="B466" s="32" t="s">
        <v>592</v>
      </c>
      <c r="C466" s="12">
        <v>465</v>
      </c>
      <c r="D466" s="97" t="s">
        <v>1123</v>
      </c>
      <c r="E466" s="64" t="s">
        <v>1679</v>
      </c>
      <c r="F466" s="116" t="s">
        <v>659</v>
      </c>
      <c r="G466" s="116" t="s">
        <v>1124</v>
      </c>
      <c r="H466" s="116" t="s">
        <v>1132</v>
      </c>
      <c r="I466" s="37" t="s">
        <v>735</v>
      </c>
      <c r="J466" s="116">
        <v>2022</v>
      </c>
      <c r="K466" s="116">
        <v>2023</v>
      </c>
      <c r="L466" s="32" t="s">
        <v>597</v>
      </c>
      <c r="M466" s="15"/>
      <c r="N466" s="12"/>
      <c r="O466" s="15" t="s">
        <v>604</v>
      </c>
      <c r="P466" s="12" t="s">
        <v>57</v>
      </c>
      <c r="Q466" s="16" t="s">
        <v>891</v>
      </c>
      <c r="R466" s="15" t="s">
        <v>93</v>
      </c>
      <c r="S466" s="28" t="s">
        <v>2631</v>
      </c>
      <c r="T466" s="12">
        <v>0</v>
      </c>
      <c r="U466" s="12"/>
      <c r="V466" s="17"/>
      <c r="W466" s="38"/>
      <c r="X466" s="12"/>
      <c r="Y466" s="17"/>
      <c r="Z466" s="83">
        <v>3400</v>
      </c>
      <c r="AA466" s="83"/>
    </row>
    <row r="467" spans="1:27" s="78" customFormat="1" ht="192.5">
      <c r="A467" s="17" t="s">
        <v>548</v>
      </c>
      <c r="B467" s="17" t="s">
        <v>658</v>
      </c>
      <c r="C467" s="12">
        <v>466</v>
      </c>
      <c r="D467" s="37" t="s">
        <v>1325</v>
      </c>
      <c r="E467" s="31" t="s">
        <v>1674</v>
      </c>
      <c r="F467" s="13" t="s">
        <v>659</v>
      </c>
      <c r="G467" s="32" t="s">
        <v>677</v>
      </c>
      <c r="H467" s="13" t="s">
        <v>1132</v>
      </c>
      <c r="I467" s="37" t="s">
        <v>678</v>
      </c>
      <c r="J467" s="13">
        <v>2023</v>
      </c>
      <c r="K467" s="13">
        <v>2023</v>
      </c>
      <c r="L467" s="31" t="s">
        <v>597</v>
      </c>
      <c r="M467" s="30"/>
      <c r="N467" s="30"/>
      <c r="O467" s="15" t="s">
        <v>604</v>
      </c>
      <c r="P467" s="13" t="s">
        <v>57</v>
      </c>
      <c r="Q467" s="16" t="s">
        <v>891</v>
      </c>
      <c r="R467" s="16" t="s">
        <v>93</v>
      </c>
      <c r="S467" s="28" t="s">
        <v>2631</v>
      </c>
      <c r="T467" s="12">
        <v>0</v>
      </c>
      <c r="U467" s="12"/>
      <c r="V467" s="17"/>
      <c r="W467" s="38"/>
      <c r="X467" s="12"/>
      <c r="Y467" s="17"/>
      <c r="Z467" s="83">
        <v>3400</v>
      </c>
      <c r="AA467" s="83"/>
    </row>
    <row r="468" spans="1:27" s="78" customFormat="1" ht="122.5">
      <c r="A468" s="17" t="s">
        <v>548</v>
      </c>
      <c r="B468" s="30" t="s">
        <v>592</v>
      </c>
      <c r="C468" s="12">
        <v>467</v>
      </c>
      <c r="D468" s="38" t="s">
        <v>1088</v>
      </c>
      <c r="E468" s="15" t="s">
        <v>1089</v>
      </c>
      <c r="F468" s="12" t="s">
        <v>298</v>
      </c>
      <c r="G468" s="12" t="s">
        <v>715</v>
      </c>
      <c r="H468" s="12" t="s">
        <v>164</v>
      </c>
      <c r="I468" s="49" t="s">
        <v>716</v>
      </c>
      <c r="J468" s="12">
        <v>2023</v>
      </c>
      <c r="K468" s="12">
        <v>2025</v>
      </c>
      <c r="L468" s="15" t="s">
        <v>717</v>
      </c>
      <c r="M468" s="15"/>
      <c r="N468" s="12"/>
      <c r="O468" s="15" t="s">
        <v>604</v>
      </c>
      <c r="P468" s="12" t="s">
        <v>57</v>
      </c>
      <c r="Q468" s="16" t="s">
        <v>891</v>
      </c>
      <c r="R468" s="15" t="s">
        <v>1331</v>
      </c>
      <c r="S468" s="28" t="s">
        <v>2631</v>
      </c>
      <c r="T468" s="12">
        <v>0</v>
      </c>
      <c r="U468" s="12"/>
      <c r="V468" s="17"/>
      <c r="W468" s="38"/>
      <c r="X468" s="12"/>
      <c r="Y468" s="17"/>
      <c r="Z468" s="83">
        <v>3400</v>
      </c>
      <c r="AA468" s="101"/>
    </row>
    <row r="469" spans="1:27" s="78" customFormat="1" ht="105">
      <c r="A469" s="17" t="s">
        <v>548</v>
      </c>
      <c r="B469" s="32" t="s">
        <v>592</v>
      </c>
      <c r="C469" s="12">
        <v>468</v>
      </c>
      <c r="D469" s="37" t="s">
        <v>1580</v>
      </c>
      <c r="E469" s="48" t="s">
        <v>1581</v>
      </c>
      <c r="F469" s="12" t="s">
        <v>659</v>
      </c>
      <c r="G469" s="32" t="s">
        <v>2620</v>
      </c>
      <c r="H469" s="12" t="s">
        <v>1132</v>
      </c>
      <c r="I469" s="37" t="s">
        <v>595</v>
      </c>
      <c r="J469" s="12">
        <v>2013</v>
      </c>
      <c r="K469" s="32">
        <v>2016</v>
      </c>
      <c r="L469" s="32" t="s">
        <v>594</v>
      </c>
      <c r="M469" s="15"/>
      <c r="N469" s="12"/>
      <c r="O469" s="16" t="s">
        <v>59</v>
      </c>
      <c r="P469" s="31" t="s">
        <v>10</v>
      </c>
      <c r="Q469" s="16" t="s">
        <v>891</v>
      </c>
      <c r="R469" s="15" t="s">
        <v>1331</v>
      </c>
      <c r="S469" s="28" t="s">
        <v>2631</v>
      </c>
      <c r="T469" s="12">
        <v>0</v>
      </c>
      <c r="U469" s="12"/>
      <c r="V469" s="17"/>
      <c r="W469" s="38"/>
      <c r="X469" s="12"/>
      <c r="Y469" s="17"/>
      <c r="Z469" s="83">
        <v>3400</v>
      </c>
      <c r="AA469" s="123"/>
    </row>
    <row r="470" spans="1:27" s="78" customFormat="1" ht="105">
      <c r="A470" s="17" t="s">
        <v>548</v>
      </c>
      <c r="B470" s="32" t="s">
        <v>592</v>
      </c>
      <c r="C470" s="12">
        <v>469</v>
      </c>
      <c r="D470" s="37" t="s">
        <v>1578</v>
      </c>
      <c r="E470" s="48" t="s">
        <v>1579</v>
      </c>
      <c r="F470" s="12" t="s">
        <v>659</v>
      </c>
      <c r="G470" s="32" t="s">
        <v>2620</v>
      </c>
      <c r="H470" s="12" t="s">
        <v>1132</v>
      </c>
      <c r="I470" s="37" t="s">
        <v>593</v>
      </c>
      <c r="J470" s="12">
        <v>2017</v>
      </c>
      <c r="K470" s="31">
        <v>2019</v>
      </c>
      <c r="L470" s="32" t="s">
        <v>594</v>
      </c>
      <c r="M470" s="15"/>
      <c r="N470" s="12"/>
      <c r="O470" s="16" t="s">
        <v>59</v>
      </c>
      <c r="P470" s="31" t="s">
        <v>10</v>
      </c>
      <c r="Q470" s="16" t="s">
        <v>891</v>
      </c>
      <c r="R470" s="15" t="s">
        <v>1331</v>
      </c>
      <c r="S470" s="28" t="s">
        <v>2631</v>
      </c>
      <c r="T470" s="12">
        <v>0</v>
      </c>
      <c r="U470" s="12"/>
      <c r="V470" s="17"/>
      <c r="W470" s="38"/>
      <c r="X470" s="12"/>
      <c r="Y470" s="17"/>
      <c r="Z470" s="83">
        <v>3400</v>
      </c>
      <c r="AA470" s="101" t="s">
        <v>2794</v>
      </c>
    </row>
    <row r="471" spans="1:27" s="78" customFormat="1" ht="175">
      <c r="A471" s="17" t="s">
        <v>548</v>
      </c>
      <c r="B471" s="17" t="s">
        <v>592</v>
      </c>
      <c r="C471" s="12">
        <v>470</v>
      </c>
      <c r="D471" s="128" t="s">
        <v>664</v>
      </c>
      <c r="E471" s="129" t="s">
        <v>1320</v>
      </c>
      <c r="F471" s="12" t="s">
        <v>659</v>
      </c>
      <c r="G471" s="130" t="s">
        <v>663</v>
      </c>
      <c r="H471" s="12" t="s">
        <v>1132</v>
      </c>
      <c r="I471" s="128" t="s">
        <v>665</v>
      </c>
      <c r="J471" s="12">
        <v>2020</v>
      </c>
      <c r="K471" s="12">
        <v>2023</v>
      </c>
      <c r="L471" s="129" t="s">
        <v>594</v>
      </c>
      <c r="M471" s="64"/>
      <c r="N471" s="64"/>
      <c r="O471" s="15" t="s">
        <v>604</v>
      </c>
      <c r="P471" s="12" t="s">
        <v>57</v>
      </c>
      <c r="Q471" s="16" t="s">
        <v>891</v>
      </c>
      <c r="R471" s="15" t="s">
        <v>1331</v>
      </c>
      <c r="S471" s="28" t="s">
        <v>2631</v>
      </c>
      <c r="T471" s="12">
        <v>0</v>
      </c>
      <c r="U471" s="12"/>
      <c r="V471" s="17"/>
      <c r="W471" s="38"/>
      <c r="X471" s="12"/>
      <c r="Y471" s="17"/>
      <c r="Z471" s="83">
        <v>3400</v>
      </c>
      <c r="AA471" s="83"/>
    </row>
    <row r="472" spans="1:27" s="78" customFormat="1" ht="52.5">
      <c r="A472" s="17" t="s">
        <v>548</v>
      </c>
      <c r="B472" s="17" t="s">
        <v>592</v>
      </c>
      <c r="C472" s="12">
        <v>471</v>
      </c>
      <c r="D472" s="128" t="s">
        <v>667</v>
      </c>
      <c r="E472" s="129" t="s">
        <v>667</v>
      </c>
      <c r="F472" s="12" t="s">
        <v>130</v>
      </c>
      <c r="G472" s="130" t="s">
        <v>666</v>
      </c>
      <c r="H472" s="12" t="s">
        <v>1132</v>
      </c>
      <c r="I472" s="129" t="s">
        <v>668</v>
      </c>
      <c r="J472" s="12">
        <v>2020</v>
      </c>
      <c r="K472" s="12">
        <v>2023</v>
      </c>
      <c r="L472" s="129" t="s">
        <v>594</v>
      </c>
      <c r="M472" s="64"/>
      <c r="N472" s="64"/>
      <c r="O472" s="15" t="s">
        <v>604</v>
      </c>
      <c r="P472" s="12" t="s">
        <v>57</v>
      </c>
      <c r="Q472" s="16" t="s">
        <v>891</v>
      </c>
      <c r="R472" s="15" t="s">
        <v>1331</v>
      </c>
      <c r="S472" s="28" t="s">
        <v>2631</v>
      </c>
      <c r="T472" s="12">
        <v>0</v>
      </c>
      <c r="U472" s="12"/>
      <c r="V472" s="17"/>
      <c r="W472" s="38"/>
      <c r="X472" s="12"/>
      <c r="Y472" s="17"/>
      <c r="Z472" s="83">
        <v>3400</v>
      </c>
      <c r="AA472" s="83"/>
    </row>
    <row r="473" spans="1:27" s="78" customFormat="1" ht="52.5">
      <c r="A473" s="17" t="s">
        <v>548</v>
      </c>
      <c r="B473" s="17" t="s">
        <v>592</v>
      </c>
      <c r="C473" s="12">
        <v>472</v>
      </c>
      <c r="D473" s="128" t="s">
        <v>669</v>
      </c>
      <c r="E473" s="129" t="s">
        <v>669</v>
      </c>
      <c r="F473" s="12" t="s">
        <v>130</v>
      </c>
      <c r="G473" s="130" t="s">
        <v>666</v>
      </c>
      <c r="H473" s="12" t="s">
        <v>1132</v>
      </c>
      <c r="I473" s="128" t="s">
        <v>670</v>
      </c>
      <c r="J473" s="12">
        <v>2020</v>
      </c>
      <c r="K473" s="12">
        <v>2023</v>
      </c>
      <c r="L473" s="129" t="s">
        <v>594</v>
      </c>
      <c r="M473" s="64"/>
      <c r="N473" s="64"/>
      <c r="O473" s="15" t="s">
        <v>604</v>
      </c>
      <c r="P473" s="12" t="s">
        <v>57</v>
      </c>
      <c r="Q473" s="16" t="s">
        <v>891</v>
      </c>
      <c r="R473" s="15" t="s">
        <v>1331</v>
      </c>
      <c r="S473" s="28" t="s">
        <v>2631</v>
      </c>
      <c r="T473" s="12">
        <v>0</v>
      </c>
      <c r="U473" s="12"/>
      <c r="V473" s="17"/>
      <c r="W473" s="38"/>
      <c r="X473" s="12"/>
      <c r="Y473" s="17"/>
      <c r="Z473" s="83">
        <v>3400</v>
      </c>
      <c r="AA473" s="83"/>
    </row>
    <row r="474" spans="1:27" s="78" customFormat="1" ht="52.5">
      <c r="A474" s="17" t="s">
        <v>548</v>
      </c>
      <c r="B474" s="32" t="s">
        <v>592</v>
      </c>
      <c r="C474" s="12">
        <v>473</v>
      </c>
      <c r="D474" s="38" t="s">
        <v>667</v>
      </c>
      <c r="E474" s="15"/>
      <c r="F474" s="12" t="s">
        <v>659</v>
      </c>
      <c r="G474" s="12" t="s">
        <v>1122</v>
      </c>
      <c r="H474" s="12" t="s">
        <v>164</v>
      </c>
      <c r="I474" s="31" t="s">
        <v>733</v>
      </c>
      <c r="J474" s="12">
        <v>2020</v>
      </c>
      <c r="K474" s="12">
        <v>2023</v>
      </c>
      <c r="L474" s="32" t="s">
        <v>594</v>
      </c>
      <c r="M474" s="15"/>
      <c r="N474" s="12"/>
      <c r="O474" s="15" t="s">
        <v>604</v>
      </c>
      <c r="P474" s="12" t="s">
        <v>57</v>
      </c>
      <c r="Q474" s="16" t="s">
        <v>891</v>
      </c>
      <c r="R474" s="15" t="s">
        <v>1331</v>
      </c>
      <c r="S474" s="28" t="s">
        <v>2631</v>
      </c>
      <c r="T474" s="12">
        <v>0</v>
      </c>
      <c r="U474" s="12"/>
      <c r="V474" s="17"/>
      <c r="W474" s="38"/>
      <c r="X474" s="12"/>
      <c r="Y474" s="17"/>
      <c r="Z474" s="83">
        <v>3400</v>
      </c>
      <c r="AA474" s="83"/>
    </row>
    <row r="475" spans="1:27" s="27" customFormat="1" ht="105">
      <c r="A475" s="17" t="s">
        <v>548</v>
      </c>
      <c r="B475" s="17" t="s">
        <v>592</v>
      </c>
      <c r="C475" s="12">
        <v>474</v>
      </c>
      <c r="D475" s="128" t="s">
        <v>675</v>
      </c>
      <c r="E475" s="129" t="s">
        <v>1321</v>
      </c>
      <c r="F475" s="12" t="s">
        <v>130</v>
      </c>
      <c r="G475" s="130" t="s">
        <v>674</v>
      </c>
      <c r="H475" s="12" t="s">
        <v>1132</v>
      </c>
      <c r="I475" s="128" t="s">
        <v>676</v>
      </c>
      <c r="J475" s="12">
        <v>2021</v>
      </c>
      <c r="K475" s="12">
        <v>2023</v>
      </c>
      <c r="L475" s="129" t="s">
        <v>594</v>
      </c>
      <c r="M475" s="64"/>
      <c r="N475" s="64"/>
      <c r="O475" s="15" t="s">
        <v>604</v>
      </c>
      <c r="P475" s="12" t="s">
        <v>57</v>
      </c>
      <c r="Q475" s="16" t="s">
        <v>891</v>
      </c>
      <c r="R475" s="15" t="s">
        <v>1331</v>
      </c>
      <c r="S475" s="28" t="s">
        <v>2631</v>
      </c>
      <c r="T475" s="12">
        <v>0</v>
      </c>
      <c r="U475" s="12"/>
      <c r="V475" s="17"/>
      <c r="W475" s="38"/>
      <c r="X475" s="12"/>
      <c r="Y475" s="17"/>
      <c r="Z475" s="83">
        <v>3400</v>
      </c>
      <c r="AA475" s="83"/>
    </row>
    <row r="476" spans="1:27" s="78" customFormat="1" ht="52.5">
      <c r="A476" s="17" t="s">
        <v>548</v>
      </c>
      <c r="B476" s="30" t="s">
        <v>592</v>
      </c>
      <c r="C476" s="12">
        <v>475</v>
      </c>
      <c r="D476" s="38" t="s">
        <v>776</v>
      </c>
      <c r="E476" s="15"/>
      <c r="F476" s="12" t="s">
        <v>682</v>
      </c>
      <c r="G476" s="12" t="s">
        <v>774</v>
      </c>
      <c r="H476" s="12" t="s">
        <v>164</v>
      </c>
      <c r="I476" s="49" t="s">
        <v>721</v>
      </c>
      <c r="J476" s="12">
        <v>2023</v>
      </c>
      <c r="K476" s="12">
        <v>2028</v>
      </c>
      <c r="L476" s="17" t="s">
        <v>722</v>
      </c>
      <c r="M476" s="15"/>
      <c r="N476" s="12"/>
      <c r="O476" s="15" t="s">
        <v>604</v>
      </c>
      <c r="P476" s="12" t="s">
        <v>57</v>
      </c>
      <c r="Q476" s="16" t="s">
        <v>891</v>
      </c>
      <c r="R476" s="15" t="s">
        <v>1094</v>
      </c>
      <c r="S476" s="28" t="s">
        <v>2631</v>
      </c>
      <c r="T476" s="12">
        <v>0</v>
      </c>
      <c r="U476" s="12"/>
      <c r="V476" s="17"/>
      <c r="W476" s="38"/>
      <c r="X476" s="12"/>
      <c r="Y476" s="17"/>
      <c r="Z476" s="83">
        <v>3400</v>
      </c>
      <c r="AA476" s="83" t="s">
        <v>2794</v>
      </c>
    </row>
    <row r="477" spans="1:27" s="78" customFormat="1" ht="52.5">
      <c r="A477" s="17" t="s">
        <v>548</v>
      </c>
      <c r="B477" s="30" t="s">
        <v>592</v>
      </c>
      <c r="C477" s="12">
        <v>476</v>
      </c>
      <c r="D477" s="38" t="s">
        <v>1095</v>
      </c>
      <c r="E477" s="15"/>
      <c r="F477" s="12" t="s">
        <v>682</v>
      </c>
      <c r="G477" s="12" t="s">
        <v>775</v>
      </c>
      <c r="H477" s="12" t="s">
        <v>389</v>
      </c>
      <c r="I477" s="49" t="s">
        <v>721</v>
      </c>
      <c r="J477" s="12">
        <v>2023</v>
      </c>
      <c r="K477" s="12">
        <v>2028</v>
      </c>
      <c r="L477" s="17" t="s">
        <v>722</v>
      </c>
      <c r="M477" s="15"/>
      <c r="N477" s="12"/>
      <c r="O477" s="15" t="s">
        <v>604</v>
      </c>
      <c r="P477" s="12" t="s">
        <v>57</v>
      </c>
      <c r="Q477" s="16" t="s">
        <v>891</v>
      </c>
      <c r="R477" s="15" t="s">
        <v>1094</v>
      </c>
      <c r="S477" s="28" t="s">
        <v>2631</v>
      </c>
      <c r="T477" s="12">
        <v>0</v>
      </c>
      <c r="U477" s="12"/>
      <c r="V477" s="17"/>
      <c r="W477" s="38"/>
      <c r="X477" s="12"/>
      <c r="Y477" s="17"/>
      <c r="Z477" s="83">
        <v>3400</v>
      </c>
      <c r="AA477" s="83" t="s">
        <v>2794</v>
      </c>
    </row>
    <row r="478" spans="1:27" s="67" customFormat="1" ht="210">
      <c r="A478" s="17" t="s">
        <v>548</v>
      </c>
      <c r="B478" s="30" t="s">
        <v>592</v>
      </c>
      <c r="C478" s="12">
        <v>477</v>
      </c>
      <c r="D478" s="38" t="s">
        <v>1016</v>
      </c>
      <c r="E478" s="15" t="s">
        <v>1104</v>
      </c>
      <c r="F478" s="12" t="s">
        <v>298</v>
      </c>
      <c r="G478" s="12" t="s">
        <v>730</v>
      </c>
      <c r="H478" s="12" t="s">
        <v>408</v>
      </c>
      <c r="I478" s="49" t="s">
        <v>725</v>
      </c>
      <c r="J478" s="12">
        <v>2022</v>
      </c>
      <c r="K478" s="12">
        <v>2027</v>
      </c>
      <c r="L478" s="17" t="s">
        <v>726</v>
      </c>
      <c r="M478" s="15"/>
      <c r="N478" s="12"/>
      <c r="O478" s="15" t="s">
        <v>604</v>
      </c>
      <c r="P478" s="12" t="s">
        <v>57</v>
      </c>
      <c r="Q478" s="16" t="s">
        <v>891</v>
      </c>
      <c r="R478" s="15" t="s">
        <v>1331</v>
      </c>
      <c r="S478" s="28" t="s">
        <v>2631</v>
      </c>
      <c r="T478" s="12">
        <v>0</v>
      </c>
      <c r="U478" s="12"/>
      <c r="V478" s="17"/>
      <c r="W478" s="38"/>
      <c r="X478" s="12"/>
      <c r="Y478" s="17"/>
      <c r="Z478" s="83">
        <v>3400</v>
      </c>
      <c r="AA478" s="83"/>
    </row>
    <row r="479" spans="1:27" s="67" customFormat="1" ht="210">
      <c r="A479" s="17" t="s">
        <v>548</v>
      </c>
      <c r="B479" s="30" t="s">
        <v>592</v>
      </c>
      <c r="C479" s="12">
        <v>478</v>
      </c>
      <c r="D479" s="38" t="s">
        <v>1105</v>
      </c>
      <c r="E479" s="15" t="s">
        <v>1106</v>
      </c>
      <c r="F479" s="12" t="s">
        <v>298</v>
      </c>
      <c r="G479" s="12" t="s">
        <v>730</v>
      </c>
      <c r="H479" s="12" t="s">
        <v>408</v>
      </c>
      <c r="I479" s="49" t="s">
        <v>725</v>
      </c>
      <c r="J479" s="12">
        <v>2022</v>
      </c>
      <c r="K479" s="12">
        <v>2027</v>
      </c>
      <c r="L479" s="17" t="s">
        <v>726</v>
      </c>
      <c r="M479" s="15"/>
      <c r="N479" s="12"/>
      <c r="O479" s="15" t="s">
        <v>604</v>
      </c>
      <c r="P479" s="12" t="s">
        <v>57</v>
      </c>
      <c r="Q479" s="16" t="s">
        <v>891</v>
      </c>
      <c r="R479" s="15" t="s">
        <v>1331</v>
      </c>
      <c r="S479" s="28" t="s">
        <v>2631</v>
      </c>
      <c r="T479" s="12">
        <v>0</v>
      </c>
      <c r="U479" s="12"/>
      <c r="V479" s="17"/>
      <c r="W479" s="38"/>
      <c r="X479" s="12"/>
      <c r="Y479" s="17"/>
      <c r="Z479" s="83">
        <v>3400</v>
      </c>
      <c r="AA479" s="83"/>
    </row>
    <row r="480" spans="1:27" s="67" customFormat="1" ht="210">
      <c r="A480" s="17" t="s">
        <v>548</v>
      </c>
      <c r="B480" s="30" t="s">
        <v>592</v>
      </c>
      <c r="C480" s="12">
        <v>479</v>
      </c>
      <c r="D480" s="38" t="s">
        <v>1107</v>
      </c>
      <c r="E480" s="15" t="s">
        <v>1108</v>
      </c>
      <c r="F480" s="12" t="s">
        <v>298</v>
      </c>
      <c r="G480" s="12" t="s">
        <v>730</v>
      </c>
      <c r="H480" s="12" t="s">
        <v>408</v>
      </c>
      <c r="I480" s="49" t="s">
        <v>725</v>
      </c>
      <c r="J480" s="12">
        <v>2022</v>
      </c>
      <c r="K480" s="12">
        <v>2027</v>
      </c>
      <c r="L480" s="17" t="s">
        <v>726</v>
      </c>
      <c r="M480" s="15"/>
      <c r="N480" s="12"/>
      <c r="O480" s="15" t="s">
        <v>604</v>
      </c>
      <c r="P480" s="12" t="s">
        <v>57</v>
      </c>
      <c r="Q480" s="16" t="s">
        <v>891</v>
      </c>
      <c r="R480" s="15" t="s">
        <v>1331</v>
      </c>
      <c r="S480" s="157" t="s">
        <v>2634</v>
      </c>
      <c r="T480" s="164">
        <v>1</v>
      </c>
      <c r="U480" s="12"/>
      <c r="V480" s="157" t="s">
        <v>2632</v>
      </c>
      <c r="W480" s="172" t="s">
        <v>2632</v>
      </c>
      <c r="X480" s="164" t="s">
        <v>2632</v>
      </c>
      <c r="Y480" s="157" t="s">
        <v>2628</v>
      </c>
      <c r="Z480" s="83">
        <v>3400</v>
      </c>
      <c r="AA480" s="83"/>
    </row>
    <row r="481" spans="1:27" s="67" customFormat="1" ht="210">
      <c r="A481" s="17" t="s">
        <v>548</v>
      </c>
      <c r="B481" s="30" t="s">
        <v>592</v>
      </c>
      <c r="C481" s="12">
        <v>480</v>
      </c>
      <c r="D481" s="38" t="s">
        <v>1109</v>
      </c>
      <c r="E481" s="15" t="s">
        <v>1102</v>
      </c>
      <c r="F481" s="12" t="s">
        <v>298</v>
      </c>
      <c r="G481" s="12" t="s">
        <v>730</v>
      </c>
      <c r="H481" s="12" t="s">
        <v>408</v>
      </c>
      <c r="I481" s="49" t="s">
        <v>725</v>
      </c>
      <c r="J481" s="12">
        <v>2022</v>
      </c>
      <c r="K481" s="12">
        <v>2027</v>
      </c>
      <c r="L481" s="17" t="s">
        <v>726</v>
      </c>
      <c r="M481" s="15"/>
      <c r="N481" s="12"/>
      <c r="O481" s="15" t="s">
        <v>604</v>
      </c>
      <c r="P481" s="12" t="s">
        <v>57</v>
      </c>
      <c r="Q481" s="16" t="s">
        <v>891</v>
      </c>
      <c r="R481" s="15" t="s">
        <v>1331</v>
      </c>
      <c r="S481" s="157" t="s">
        <v>2634</v>
      </c>
      <c r="T481" s="164">
        <v>1</v>
      </c>
      <c r="U481" s="12"/>
      <c r="V481" s="157" t="s">
        <v>2632</v>
      </c>
      <c r="W481" s="172" t="s">
        <v>2632</v>
      </c>
      <c r="X481" s="164" t="s">
        <v>2632</v>
      </c>
      <c r="Y481" s="157" t="s">
        <v>2628</v>
      </c>
      <c r="Z481" s="83">
        <v>3400</v>
      </c>
      <c r="AA481" s="83"/>
    </row>
    <row r="482" spans="1:27" s="67" customFormat="1" ht="210">
      <c r="A482" s="17" t="s">
        <v>548</v>
      </c>
      <c r="B482" s="13" t="s">
        <v>679</v>
      </c>
      <c r="C482" s="12">
        <v>481</v>
      </c>
      <c r="D482" s="33" t="s">
        <v>1027</v>
      </c>
      <c r="E482" s="16" t="s">
        <v>1028</v>
      </c>
      <c r="F482" s="13" t="s">
        <v>298</v>
      </c>
      <c r="G482" s="13" t="s">
        <v>727</v>
      </c>
      <c r="H482" s="13" t="s">
        <v>164</v>
      </c>
      <c r="I482" s="33" t="s">
        <v>684</v>
      </c>
      <c r="J482" s="13">
        <v>2022</v>
      </c>
      <c r="K482" s="13">
        <v>2025</v>
      </c>
      <c r="L482" s="16" t="s">
        <v>1024</v>
      </c>
      <c r="M482" s="16"/>
      <c r="N482" s="13"/>
      <c r="O482" s="15" t="s">
        <v>604</v>
      </c>
      <c r="P482" s="13" t="s">
        <v>57</v>
      </c>
      <c r="Q482" s="13" t="s">
        <v>891</v>
      </c>
      <c r="R482" s="15" t="s">
        <v>892</v>
      </c>
      <c r="S482" s="28" t="s">
        <v>2629</v>
      </c>
      <c r="T482" s="12">
        <v>1</v>
      </c>
      <c r="U482" s="12" t="s">
        <v>1781</v>
      </c>
      <c r="V482" s="17" t="s">
        <v>1025</v>
      </c>
      <c r="W482" s="38" t="s">
        <v>1026</v>
      </c>
      <c r="X482" s="12" t="s">
        <v>2972</v>
      </c>
      <c r="Y482" s="17" t="s">
        <v>1024</v>
      </c>
      <c r="Z482" s="27"/>
      <c r="AA482" s="83"/>
    </row>
    <row r="483" spans="1:27" s="67" customFormat="1" ht="192.5">
      <c r="A483" s="17" t="s">
        <v>548</v>
      </c>
      <c r="B483" s="17" t="s">
        <v>679</v>
      </c>
      <c r="C483" s="12">
        <v>482</v>
      </c>
      <c r="D483" s="38" t="s">
        <v>1021</v>
      </c>
      <c r="E483" s="15" t="s">
        <v>1022</v>
      </c>
      <c r="F483" s="12" t="s">
        <v>682</v>
      </c>
      <c r="G483" s="12" t="s">
        <v>1023</v>
      </c>
      <c r="H483" s="12" t="s">
        <v>164</v>
      </c>
      <c r="I483" s="35" t="s">
        <v>683</v>
      </c>
      <c r="J483" s="29">
        <v>2023</v>
      </c>
      <c r="K483" s="29">
        <v>2027</v>
      </c>
      <c r="L483" s="15" t="s">
        <v>1024</v>
      </c>
      <c r="M483" s="15"/>
      <c r="N483" s="12"/>
      <c r="O483" s="15" t="s">
        <v>604</v>
      </c>
      <c r="P483" s="12" t="s">
        <v>57</v>
      </c>
      <c r="Q483" s="16" t="s">
        <v>891</v>
      </c>
      <c r="R483" s="15" t="s">
        <v>1094</v>
      </c>
      <c r="S483" s="28" t="s">
        <v>2629</v>
      </c>
      <c r="T483" s="12">
        <v>1</v>
      </c>
      <c r="U483" s="12" t="s">
        <v>1781</v>
      </c>
      <c r="V483" s="17" t="s">
        <v>1025</v>
      </c>
      <c r="W483" s="38" t="s">
        <v>1026</v>
      </c>
      <c r="X483" s="12" t="s">
        <v>2972</v>
      </c>
      <c r="Y483" s="17" t="s">
        <v>1024</v>
      </c>
      <c r="Z483" s="83">
        <v>3100</v>
      </c>
      <c r="AA483" s="83"/>
    </row>
    <row r="484" spans="1:27" s="67" customFormat="1" ht="210">
      <c r="A484" s="17" t="s">
        <v>548</v>
      </c>
      <c r="B484" s="17" t="s">
        <v>679</v>
      </c>
      <c r="C484" s="12">
        <v>483</v>
      </c>
      <c r="D484" s="108" t="s">
        <v>1097</v>
      </c>
      <c r="E484" s="131" t="s">
        <v>1100</v>
      </c>
      <c r="F484" s="12" t="s">
        <v>1930</v>
      </c>
      <c r="G484" s="12" t="s">
        <v>727</v>
      </c>
      <c r="H484" s="12" t="s">
        <v>54</v>
      </c>
      <c r="I484" s="35" t="s">
        <v>1931</v>
      </c>
      <c r="J484" s="29">
        <v>2023</v>
      </c>
      <c r="K484" s="29">
        <v>2027</v>
      </c>
      <c r="L484" s="15" t="s">
        <v>1024</v>
      </c>
      <c r="M484" s="15"/>
      <c r="N484" s="12"/>
      <c r="O484" s="15" t="s">
        <v>604</v>
      </c>
      <c r="P484" s="12" t="s">
        <v>57</v>
      </c>
      <c r="Q484" s="16" t="s">
        <v>891</v>
      </c>
      <c r="R484" s="15" t="s">
        <v>892</v>
      </c>
      <c r="S484" s="28" t="s">
        <v>2629</v>
      </c>
      <c r="T484" s="12">
        <v>1</v>
      </c>
      <c r="U484" s="12" t="s">
        <v>1781</v>
      </c>
      <c r="V484" s="17" t="s">
        <v>1025</v>
      </c>
      <c r="W484" s="38" t="s">
        <v>1026</v>
      </c>
      <c r="X484" s="12" t="s">
        <v>2972</v>
      </c>
      <c r="Y484" s="17" t="s">
        <v>1024</v>
      </c>
      <c r="Z484" s="83">
        <v>3100</v>
      </c>
      <c r="AA484" s="83"/>
    </row>
    <row r="485" spans="1:27" s="67" customFormat="1" ht="210">
      <c r="A485" s="17" t="s">
        <v>548</v>
      </c>
      <c r="B485" s="17" t="s">
        <v>679</v>
      </c>
      <c r="C485" s="12">
        <v>484</v>
      </c>
      <c r="D485" s="33" t="s">
        <v>1097</v>
      </c>
      <c r="E485" s="16" t="s">
        <v>1101</v>
      </c>
      <c r="F485" s="13" t="s">
        <v>298</v>
      </c>
      <c r="G485" s="13" t="s">
        <v>727</v>
      </c>
      <c r="H485" s="13" t="s">
        <v>164</v>
      </c>
      <c r="I485" s="33" t="s">
        <v>1931</v>
      </c>
      <c r="J485" s="13">
        <v>2023</v>
      </c>
      <c r="K485" s="13">
        <v>2027</v>
      </c>
      <c r="L485" s="16" t="s">
        <v>1024</v>
      </c>
      <c r="M485" s="16"/>
      <c r="N485" s="13"/>
      <c r="O485" s="15" t="s">
        <v>604</v>
      </c>
      <c r="P485" s="13" t="s">
        <v>57</v>
      </c>
      <c r="Q485" s="16" t="s">
        <v>891</v>
      </c>
      <c r="R485" s="15" t="s">
        <v>892</v>
      </c>
      <c r="S485" s="28" t="s">
        <v>2629</v>
      </c>
      <c r="T485" s="12">
        <v>1</v>
      </c>
      <c r="U485" s="12" t="s">
        <v>1781</v>
      </c>
      <c r="V485" s="17" t="s">
        <v>1025</v>
      </c>
      <c r="W485" s="38" t="s">
        <v>1026</v>
      </c>
      <c r="X485" s="12" t="s">
        <v>2972</v>
      </c>
      <c r="Y485" s="17" t="s">
        <v>1024</v>
      </c>
      <c r="Z485" s="123">
        <v>3100</v>
      </c>
      <c r="AA485" s="83"/>
    </row>
    <row r="486" spans="1:27" s="67" customFormat="1" ht="87.5">
      <c r="A486" s="17" t="s">
        <v>548</v>
      </c>
      <c r="B486" s="17" t="s">
        <v>679</v>
      </c>
      <c r="C486" s="12">
        <v>485</v>
      </c>
      <c r="D486" s="38" t="s">
        <v>1016</v>
      </c>
      <c r="E486" s="80" t="s">
        <v>1017</v>
      </c>
      <c r="F486" s="12" t="s">
        <v>298</v>
      </c>
      <c r="G486" s="12" t="s">
        <v>730</v>
      </c>
      <c r="H486" s="12" t="s">
        <v>389</v>
      </c>
      <c r="I486" s="35" t="s">
        <v>681</v>
      </c>
      <c r="J486" s="12">
        <v>2023</v>
      </c>
      <c r="K486" s="12">
        <v>2027</v>
      </c>
      <c r="L486" s="15" t="s">
        <v>1018</v>
      </c>
      <c r="M486" s="15"/>
      <c r="N486" s="12"/>
      <c r="O486" s="15" t="s">
        <v>604</v>
      </c>
      <c r="P486" s="12" t="s">
        <v>57</v>
      </c>
      <c r="Q486" s="16" t="s">
        <v>891</v>
      </c>
      <c r="R486" s="15" t="s">
        <v>1006</v>
      </c>
      <c r="S486" s="28" t="s">
        <v>2631</v>
      </c>
      <c r="T486" s="12">
        <v>0</v>
      </c>
      <c r="U486" s="12"/>
      <c r="V486" s="17"/>
      <c r="W486" s="38"/>
      <c r="X486" s="12"/>
      <c r="Y486" s="17"/>
      <c r="Z486" s="83">
        <v>3100</v>
      </c>
      <c r="AA486" s="83"/>
    </row>
    <row r="487" spans="1:27" s="67" customFormat="1" ht="87.5">
      <c r="A487" s="17" t="s">
        <v>548</v>
      </c>
      <c r="B487" s="17" t="s">
        <v>679</v>
      </c>
      <c r="C487" s="12">
        <v>486</v>
      </c>
      <c r="D487" s="38" t="s">
        <v>1019</v>
      </c>
      <c r="E487" s="80" t="s">
        <v>1020</v>
      </c>
      <c r="F487" s="12" t="s">
        <v>298</v>
      </c>
      <c r="G487" s="12" t="s">
        <v>730</v>
      </c>
      <c r="H487" s="12" t="s">
        <v>389</v>
      </c>
      <c r="I487" s="35" t="s">
        <v>681</v>
      </c>
      <c r="J487" s="12">
        <v>2023</v>
      </c>
      <c r="K487" s="12">
        <v>2027</v>
      </c>
      <c r="L487" s="15" t="s">
        <v>1018</v>
      </c>
      <c r="M487" s="15"/>
      <c r="N487" s="12"/>
      <c r="O487" s="15" t="s">
        <v>604</v>
      </c>
      <c r="P487" s="12" t="s">
        <v>57</v>
      </c>
      <c r="Q487" s="16" t="s">
        <v>891</v>
      </c>
      <c r="R487" s="15" t="s">
        <v>892</v>
      </c>
      <c r="S487" s="28" t="s">
        <v>2631</v>
      </c>
      <c r="T487" s="12">
        <v>0</v>
      </c>
      <c r="U487" s="12"/>
      <c r="V487" s="17"/>
      <c r="W487" s="38"/>
      <c r="X487" s="12"/>
      <c r="Y487" s="17"/>
      <c r="Z487" s="83">
        <v>3100</v>
      </c>
      <c r="AA487" s="83" t="s">
        <v>2794</v>
      </c>
    </row>
    <row r="488" spans="1:27" s="67" customFormat="1" ht="105">
      <c r="A488" s="17" t="s">
        <v>548</v>
      </c>
      <c r="B488" s="17" t="s">
        <v>679</v>
      </c>
      <c r="C488" s="12">
        <v>487</v>
      </c>
      <c r="D488" s="33" t="s">
        <v>1940</v>
      </c>
      <c r="E488" s="16" t="s">
        <v>1941</v>
      </c>
      <c r="F488" s="13" t="s">
        <v>298</v>
      </c>
      <c r="G488" s="13" t="s">
        <v>727</v>
      </c>
      <c r="H488" s="13" t="s">
        <v>1132</v>
      </c>
      <c r="I488" s="33" t="s">
        <v>1942</v>
      </c>
      <c r="J488" s="13">
        <v>2022</v>
      </c>
      <c r="K488" s="13">
        <v>2024</v>
      </c>
      <c r="L488" s="16" t="s">
        <v>1943</v>
      </c>
      <c r="M488" s="16"/>
      <c r="N488" s="13"/>
      <c r="O488" s="15" t="s">
        <v>604</v>
      </c>
      <c r="P488" s="13" t="s">
        <v>57</v>
      </c>
      <c r="Q488" s="16" t="s">
        <v>891</v>
      </c>
      <c r="R488" s="15" t="s">
        <v>892</v>
      </c>
      <c r="S488" s="28" t="s">
        <v>2629</v>
      </c>
      <c r="T488" s="12">
        <v>1</v>
      </c>
      <c r="U488" s="12" t="s">
        <v>1781</v>
      </c>
      <c r="V488" s="17" t="s">
        <v>1944</v>
      </c>
      <c r="W488" s="38" t="s">
        <v>1945</v>
      </c>
      <c r="X488" s="15" t="s">
        <v>1946</v>
      </c>
      <c r="Y488" s="17" t="s">
        <v>1943</v>
      </c>
      <c r="Z488" s="123">
        <v>3100</v>
      </c>
      <c r="AA488" s="83" t="s">
        <v>2794</v>
      </c>
    </row>
    <row r="489" spans="1:27" s="67" customFormat="1" ht="70">
      <c r="A489" s="17" t="s">
        <v>548</v>
      </c>
      <c r="B489" s="17" t="s">
        <v>679</v>
      </c>
      <c r="C489" s="12">
        <v>488</v>
      </c>
      <c r="D489" s="33" t="s">
        <v>1947</v>
      </c>
      <c r="E489" s="16" t="s">
        <v>1015</v>
      </c>
      <c r="F489" s="13" t="s">
        <v>298</v>
      </c>
      <c r="G489" s="13" t="s">
        <v>727</v>
      </c>
      <c r="H489" s="13" t="s">
        <v>408</v>
      </c>
      <c r="I489" s="33" t="s">
        <v>1948</v>
      </c>
      <c r="J489" s="13">
        <v>2027</v>
      </c>
      <c r="K489" s="13">
        <v>2027</v>
      </c>
      <c r="L489" s="16" t="s">
        <v>1943</v>
      </c>
      <c r="M489" s="16"/>
      <c r="N489" s="13"/>
      <c r="O489" s="15" t="s">
        <v>604</v>
      </c>
      <c r="P489" s="13" t="s">
        <v>57</v>
      </c>
      <c r="Q489" s="16" t="s">
        <v>891</v>
      </c>
      <c r="R489" s="15" t="s">
        <v>892</v>
      </c>
      <c r="S489" s="28" t="s">
        <v>2629</v>
      </c>
      <c r="T489" s="12">
        <v>1</v>
      </c>
      <c r="U489" s="12" t="s">
        <v>1781</v>
      </c>
      <c r="V489" s="17" t="s">
        <v>1949</v>
      </c>
      <c r="W489" s="38" t="s">
        <v>1950</v>
      </c>
      <c r="X489" s="12" t="s">
        <v>2977</v>
      </c>
      <c r="Y489" s="17" t="s">
        <v>1943</v>
      </c>
      <c r="Z489" s="123">
        <v>3100</v>
      </c>
      <c r="AA489" s="83"/>
    </row>
    <row r="490" spans="1:27" s="67" customFormat="1" ht="245">
      <c r="A490" s="17" t="s">
        <v>548</v>
      </c>
      <c r="B490" s="17" t="s">
        <v>679</v>
      </c>
      <c r="C490" s="12">
        <v>489</v>
      </c>
      <c r="D490" s="38" t="s">
        <v>1007</v>
      </c>
      <c r="E490" s="15" t="s">
        <v>1008</v>
      </c>
      <c r="F490" s="12" t="s">
        <v>298</v>
      </c>
      <c r="G490" s="12" t="s">
        <v>727</v>
      </c>
      <c r="H490" s="12" t="s">
        <v>389</v>
      </c>
      <c r="I490" s="33" t="s">
        <v>680</v>
      </c>
      <c r="J490" s="12">
        <v>2023</v>
      </c>
      <c r="K490" s="12">
        <v>2027</v>
      </c>
      <c r="L490" s="15" t="s">
        <v>1009</v>
      </c>
      <c r="M490" s="15"/>
      <c r="N490" s="12"/>
      <c r="O490" s="15" t="s">
        <v>604</v>
      </c>
      <c r="P490" s="12" t="s">
        <v>57</v>
      </c>
      <c r="Q490" s="16" t="s">
        <v>891</v>
      </c>
      <c r="R490" s="15" t="s">
        <v>1006</v>
      </c>
      <c r="S490" s="28" t="s">
        <v>2631</v>
      </c>
      <c r="T490" s="12">
        <v>0</v>
      </c>
      <c r="U490" s="12"/>
      <c r="V490" s="17"/>
      <c r="W490" s="38"/>
      <c r="X490" s="12"/>
      <c r="Y490" s="17"/>
      <c r="Z490" s="83">
        <v>3100</v>
      </c>
      <c r="AA490" s="168"/>
    </row>
    <row r="491" spans="1:27" s="67" customFormat="1" ht="245">
      <c r="A491" s="17" t="s">
        <v>548</v>
      </c>
      <c r="B491" s="17" t="s">
        <v>679</v>
      </c>
      <c r="C491" s="12">
        <v>490</v>
      </c>
      <c r="D491" s="38" t="s">
        <v>1010</v>
      </c>
      <c r="E491" s="15" t="s">
        <v>1011</v>
      </c>
      <c r="F491" s="12" t="s">
        <v>298</v>
      </c>
      <c r="G491" s="12" t="s">
        <v>727</v>
      </c>
      <c r="H491" s="12" t="s">
        <v>389</v>
      </c>
      <c r="I491" s="33" t="s">
        <v>680</v>
      </c>
      <c r="J491" s="12">
        <v>2023</v>
      </c>
      <c r="K491" s="12">
        <v>2027</v>
      </c>
      <c r="L491" s="15" t="s">
        <v>1009</v>
      </c>
      <c r="M491" s="15"/>
      <c r="N491" s="12"/>
      <c r="O491" s="15" t="s">
        <v>604</v>
      </c>
      <c r="P491" s="12" t="s">
        <v>57</v>
      </c>
      <c r="Q491" s="16" t="s">
        <v>891</v>
      </c>
      <c r="R491" s="15" t="s">
        <v>1006</v>
      </c>
      <c r="S491" s="28" t="s">
        <v>2631</v>
      </c>
      <c r="T491" s="12">
        <v>0</v>
      </c>
      <c r="U491" s="12"/>
      <c r="V491" s="17"/>
      <c r="W491" s="38"/>
      <c r="X491" s="12"/>
      <c r="Y491" s="17"/>
      <c r="Z491" s="83">
        <v>3100</v>
      </c>
      <c r="AA491" s="123" t="s">
        <v>2794</v>
      </c>
    </row>
    <row r="492" spans="1:27" s="59" customFormat="1" ht="245">
      <c r="A492" s="17" t="s">
        <v>548</v>
      </c>
      <c r="B492" s="17" t="s">
        <v>679</v>
      </c>
      <c r="C492" s="12">
        <v>491</v>
      </c>
      <c r="D492" s="38" t="s">
        <v>1012</v>
      </c>
      <c r="E492" s="15" t="s">
        <v>1013</v>
      </c>
      <c r="F492" s="12" t="s">
        <v>298</v>
      </c>
      <c r="G492" s="12" t="s">
        <v>727</v>
      </c>
      <c r="H492" s="12" t="s">
        <v>389</v>
      </c>
      <c r="I492" s="33" t="s">
        <v>680</v>
      </c>
      <c r="J492" s="12">
        <v>2023</v>
      </c>
      <c r="K492" s="12">
        <v>2027</v>
      </c>
      <c r="L492" s="15" t="s">
        <v>1009</v>
      </c>
      <c r="M492" s="15"/>
      <c r="N492" s="12"/>
      <c r="O492" s="15" t="s">
        <v>604</v>
      </c>
      <c r="P492" s="12" t="s">
        <v>57</v>
      </c>
      <c r="Q492" s="16" t="s">
        <v>891</v>
      </c>
      <c r="R492" s="15" t="s">
        <v>1006</v>
      </c>
      <c r="S492" s="28" t="s">
        <v>2631</v>
      </c>
      <c r="T492" s="12">
        <v>0</v>
      </c>
      <c r="U492" s="12"/>
      <c r="V492" s="17"/>
      <c r="W492" s="38"/>
      <c r="X492" s="12"/>
      <c r="Y492" s="17"/>
      <c r="Z492" s="83">
        <v>3100</v>
      </c>
      <c r="AA492" s="168"/>
    </row>
    <row r="493" spans="1:27" s="59" customFormat="1" ht="245">
      <c r="A493" s="17" t="s">
        <v>548</v>
      </c>
      <c r="B493" s="17" t="s">
        <v>679</v>
      </c>
      <c r="C493" s="12">
        <v>492</v>
      </c>
      <c r="D493" s="38" t="s">
        <v>1014</v>
      </c>
      <c r="E493" s="15" t="s">
        <v>1015</v>
      </c>
      <c r="F493" s="12" t="s">
        <v>298</v>
      </c>
      <c r="G493" s="12" t="s">
        <v>727</v>
      </c>
      <c r="H493" s="12" t="s">
        <v>389</v>
      </c>
      <c r="I493" s="33" t="s">
        <v>680</v>
      </c>
      <c r="J493" s="12">
        <v>2023</v>
      </c>
      <c r="K493" s="12">
        <v>2027</v>
      </c>
      <c r="L493" s="15" t="s">
        <v>1009</v>
      </c>
      <c r="M493" s="15"/>
      <c r="N493" s="12"/>
      <c r="O493" s="15" t="s">
        <v>604</v>
      </c>
      <c r="P493" s="12" t="s">
        <v>57</v>
      </c>
      <c r="Q493" s="16" t="s">
        <v>891</v>
      </c>
      <c r="R493" s="15" t="s">
        <v>1006</v>
      </c>
      <c r="S493" s="28" t="s">
        <v>2631</v>
      </c>
      <c r="T493" s="12">
        <v>0</v>
      </c>
      <c r="U493" s="12"/>
      <c r="V493" s="17"/>
      <c r="W493" s="38"/>
      <c r="X493" s="12"/>
      <c r="Y493" s="17"/>
      <c r="Z493" s="83">
        <v>3100</v>
      </c>
      <c r="AA493" s="168" t="s">
        <v>2794</v>
      </c>
    </row>
    <row r="494" spans="1:27" s="59" customFormat="1" ht="70">
      <c r="A494" s="17" t="s">
        <v>548</v>
      </c>
      <c r="B494" s="17" t="s">
        <v>679</v>
      </c>
      <c r="C494" s="12">
        <v>493</v>
      </c>
      <c r="D494" s="38" t="s">
        <v>1004</v>
      </c>
      <c r="E494" s="15" t="s">
        <v>2536</v>
      </c>
      <c r="F494" s="12" t="s">
        <v>659</v>
      </c>
      <c r="G494" s="12" t="s">
        <v>711</v>
      </c>
      <c r="H494" s="12" t="s">
        <v>164</v>
      </c>
      <c r="I494" s="16" t="s">
        <v>772</v>
      </c>
      <c r="J494" s="12">
        <v>2021</v>
      </c>
      <c r="K494" s="12">
        <v>2027</v>
      </c>
      <c r="L494" s="15" t="s">
        <v>1005</v>
      </c>
      <c r="M494" s="15"/>
      <c r="N494" s="12"/>
      <c r="O494" s="16" t="s">
        <v>59</v>
      </c>
      <c r="P494" s="12" t="s">
        <v>57</v>
      </c>
      <c r="Q494" s="16" t="s">
        <v>891</v>
      </c>
      <c r="R494" s="15" t="s">
        <v>1006</v>
      </c>
      <c r="S494" s="28" t="s">
        <v>2631</v>
      </c>
      <c r="T494" s="12">
        <v>0</v>
      </c>
      <c r="U494" s="12"/>
      <c r="V494" s="17"/>
      <c r="W494" s="38"/>
      <c r="X494" s="12"/>
      <c r="Y494" s="17"/>
      <c r="Z494" s="83">
        <v>3100</v>
      </c>
      <c r="AA494" s="83" t="s">
        <v>2794</v>
      </c>
    </row>
    <row r="495" spans="1:27" s="59" customFormat="1" ht="35">
      <c r="A495" s="17" t="s">
        <v>548</v>
      </c>
      <c r="B495" s="17" t="s">
        <v>679</v>
      </c>
      <c r="C495" s="12">
        <v>494</v>
      </c>
      <c r="D495" s="33" t="s">
        <v>1932</v>
      </c>
      <c r="E495" s="16" t="s">
        <v>1933</v>
      </c>
      <c r="F495" s="13" t="s">
        <v>682</v>
      </c>
      <c r="G495" s="13" t="s">
        <v>1934</v>
      </c>
      <c r="H495" s="13" t="s">
        <v>164</v>
      </c>
      <c r="I495" s="35" t="s">
        <v>1935</v>
      </c>
      <c r="J495" s="13">
        <v>2023</v>
      </c>
      <c r="K495" s="13">
        <v>2025</v>
      </c>
      <c r="L495" s="16" t="s">
        <v>1936</v>
      </c>
      <c r="M495" s="16"/>
      <c r="N495" s="13"/>
      <c r="O495" s="15" t="s">
        <v>604</v>
      </c>
      <c r="P495" s="13" t="s">
        <v>57</v>
      </c>
      <c r="Q495" s="16" t="s">
        <v>891</v>
      </c>
      <c r="R495" s="15" t="s">
        <v>1094</v>
      </c>
      <c r="S495" s="28" t="s">
        <v>2631</v>
      </c>
      <c r="T495" s="12">
        <v>0</v>
      </c>
      <c r="U495" s="12" t="s">
        <v>1136</v>
      </c>
      <c r="V495" s="17" t="s">
        <v>1136</v>
      </c>
      <c r="W495" s="38" t="s">
        <v>1136</v>
      </c>
      <c r="X495" s="12" t="s">
        <v>1136</v>
      </c>
      <c r="Y495" s="17" t="s">
        <v>1136</v>
      </c>
      <c r="Z495" s="123">
        <v>3100</v>
      </c>
      <c r="AA495" s="83" t="s">
        <v>2794</v>
      </c>
    </row>
    <row r="496" spans="1:27" s="59" customFormat="1" ht="52.5">
      <c r="A496" s="17" t="s">
        <v>548</v>
      </c>
      <c r="B496" s="17" t="s">
        <v>679</v>
      </c>
      <c r="C496" s="12">
        <v>495</v>
      </c>
      <c r="D496" s="38" t="s">
        <v>777</v>
      </c>
      <c r="E496" s="15"/>
      <c r="F496" s="12" t="s">
        <v>298</v>
      </c>
      <c r="G496" s="12" t="s">
        <v>727</v>
      </c>
      <c r="H496" s="12" t="s">
        <v>164</v>
      </c>
      <c r="I496" s="16" t="s">
        <v>773</v>
      </c>
      <c r="J496" s="12">
        <v>2021</v>
      </c>
      <c r="K496" s="164">
        <v>2028</v>
      </c>
      <c r="L496" s="162" t="s">
        <v>2811</v>
      </c>
      <c r="M496" s="15"/>
      <c r="N496" s="12"/>
      <c r="O496" s="16" t="s">
        <v>59</v>
      </c>
      <c r="P496" s="12" t="s">
        <v>57</v>
      </c>
      <c r="Q496" s="16" t="s">
        <v>891</v>
      </c>
      <c r="R496" s="15" t="s">
        <v>892</v>
      </c>
      <c r="S496" s="28" t="s">
        <v>2631</v>
      </c>
      <c r="T496" s="12">
        <v>0</v>
      </c>
      <c r="U496" s="12"/>
      <c r="V496" s="17"/>
      <c r="W496" s="38"/>
      <c r="X496" s="12"/>
      <c r="Y496" s="17"/>
      <c r="Z496" s="83">
        <v>3100</v>
      </c>
      <c r="AA496" s="83"/>
    </row>
    <row r="497" spans="1:27" s="59" customFormat="1" ht="52.5">
      <c r="A497" s="17" t="s">
        <v>548</v>
      </c>
      <c r="B497" s="17" t="s">
        <v>679</v>
      </c>
      <c r="C497" s="12">
        <v>496</v>
      </c>
      <c r="D497" s="38" t="s">
        <v>782</v>
      </c>
      <c r="E497" s="15"/>
      <c r="F497" s="12" t="s">
        <v>298</v>
      </c>
      <c r="G497" s="12" t="s">
        <v>727</v>
      </c>
      <c r="H497" s="12" t="s">
        <v>164</v>
      </c>
      <c r="I497" s="16" t="s">
        <v>773</v>
      </c>
      <c r="J497" s="12">
        <v>2021</v>
      </c>
      <c r="K497" s="157">
        <v>2028</v>
      </c>
      <c r="L497" s="163" t="s">
        <v>2811</v>
      </c>
      <c r="M497" s="15"/>
      <c r="N497" s="12"/>
      <c r="O497" s="16" t="s">
        <v>59</v>
      </c>
      <c r="P497" s="12" t="s">
        <v>57</v>
      </c>
      <c r="Q497" s="16" t="s">
        <v>891</v>
      </c>
      <c r="R497" s="15" t="s">
        <v>892</v>
      </c>
      <c r="S497" s="28" t="s">
        <v>2631</v>
      </c>
      <c r="T497" s="12">
        <v>0</v>
      </c>
      <c r="U497" s="12"/>
      <c r="V497" s="17"/>
      <c r="W497" s="38"/>
      <c r="X497" s="12"/>
      <c r="Y497" s="17"/>
      <c r="Z497" s="83">
        <v>3100</v>
      </c>
      <c r="AA497" s="83"/>
    </row>
    <row r="498" spans="1:27" s="67" customFormat="1" ht="52.5">
      <c r="A498" s="17" t="s">
        <v>548</v>
      </c>
      <c r="B498" s="17" t="s">
        <v>679</v>
      </c>
      <c r="C498" s="12">
        <v>497</v>
      </c>
      <c r="D498" s="38" t="s">
        <v>778</v>
      </c>
      <c r="E498" s="15"/>
      <c r="F498" s="12" t="s">
        <v>298</v>
      </c>
      <c r="G498" s="12" t="s">
        <v>727</v>
      </c>
      <c r="H498" s="12" t="s">
        <v>164</v>
      </c>
      <c r="I498" s="16" t="s">
        <v>773</v>
      </c>
      <c r="J498" s="12">
        <v>2021</v>
      </c>
      <c r="K498" s="157">
        <v>2028</v>
      </c>
      <c r="L498" s="163" t="s">
        <v>2811</v>
      </c>
      <c r="M498" s="15"/>
      <c r="N498" s="12"/>
      <c r="O498" s="16" t="s">
        <v>59</v>
      </c>
      <c r="P498" s="12" t="s">
        <v>57</v>
      </c>
      <c r="Q498" s="16" t="s">
        <v>891</v>
      </c>
      <c r="R498" s="15" t="s">
        <v>892</v>
      </c>
      <c r="S498" s="28" t="s">
        <v>2631</v>
      </c>
      <c r="T498" s="12">
        <v>0</v>
      </c>
      <c r="U498" s="12"/>
      <c r="V498" s="17"/>
      <c r="W498" s="38"/>
      <c r="X498" s="12"/>
      <c r="Y498" s="17"/>
      <c r="Z498" s="83">
        <v>3100</v>
      </c>
      <c r="AA498" s="83" t="s">
        <v>2794</v>
      </c>
    </row>
    <row r="499" spans="1:27" s="67" customFormat="1" ht="52.5">
      <c r="A499" s="17" t="s">
        <v>548</v>
      </c>
      <c r="B499" s="17" t="s">
        <v>679</v>
      </c>
      <c r="C499" s="12">
        <v>498</v>
      </c>
      <c r="D499" s="38" t="s">
        <v>779</v>
      </c>
      <c r="E499" s="15"/>
      <c r="F499" s="12" t="s">
        <v>298</v>
      </c>
      <c r="G499" s="12" t="s">
        <v>727</v>
      </c>
      <c r="H499" s="12" t="s">
        <v>164</v>
      </c>
      <c r="I499" s="16" t="s">
        <v>773</v>
      </c>
      <c r="J499" s="12">
        <v>2021</v>
      </c>
      <c r="K499" s="157">
        <v>2028</v>
      </c>
      <c r="L499" s="163" t="s">
        <v>2811</v>
      </c>
      <c r="M499" s="15"/>
      <c r="N499" s="12"/>
      <c r="O499" s="16" t="s">
        <v>59</v>
      </c>
      <c r="P499" s="12" t="s">
        <v>57</v>
      </c>
      <c r="Q499" s="16" t="s">
        <v>891</v>
      </c>
      <c r="R499" s="15" t="s">
        <v>892</v>
      </c>
      <c r="S499" s="28" t="s">
        <v>2631</v>
      </c>
      <c r="T499" s="12">
        <v>0</v>
      </c>
      <c r="U499" s="12"/>
      <c r="V499" s="17"/>
      <c r="W499" s="38"/>
      <c r="X499" s="12"/>
      <c r="Y499" s="17"/>
      <c r="Z499" s="83">
        <v>3100</v>
      </c>
      <c r="AA499" s="83" t="s">
        <v>2794</v>
      </c>
    </row>
    <row r="500" spans="1:27" s="67" customFormat="1" ht="52.5">
      <c r="A500" s="17" t="s">
        <v>548</v>
      </c>
      <c r="B500" s="17" t="s">
        <v>679</v>
      </c>
      <c r="C500" s="12">
        <v>499</v>
      </c>
      <c r="D500" s="38" t="s">
        <v>780</v>
      </c>
      <c r="E500" s="15"/>
      <c r="F500" s="12" t="s">
        <v>298</v>
      </c>
      <c r="G500" s="12" t="s">
        <v>727</v>
      </c>
      <c r="H500" s="12" t="s">
        <v>164</v>
      </c>
      <c r="I500" s="16" t="s">
        <v>773</v>
      </c>
      <c r="J500" s="12">
        <v>2021</v>
      </c>
      <c r="K500" s="157">
        <v>2028</v>
      </c>
      <c r="L500" s="163" t="s">
        <v>2811</v>
      </c>
      <c r="M500" s="15"/>
      <c r="N500" s="12"/>
      <c r="O500" s="16" t="s">
        <v>59</v>
      </c>
      <c r="P500" s="12" t="s">
        <v>57</v>
      </c>
      <c r="Q500" s="16" t="s">
        <v>891</v>
      </c>
      <c r="R500" s="15" t="s">
        <v>892</v>
      </c>
      <c r="S500" s="28" t="s">
        <v>2631</v>
      </c>
      <c r="T500" s="12">
        <v>0</v>
      </c>
      <c r="U500" s="12"/>
      <c r="V500" s="17"/>
      <c r="W500" s="38"/>
      <c r="X500" s="12"/>
      <c r="Y500" s="17"/>
      <c r="Z500" s="83">
        <v>3100</v>
      </c>
      <c r="AA500" s="83"/>
    </row>
    <row r="501" spans="1:27" s="67" customFormat="1" ht="52.5">
      <c r="A501" s="17" t="s">
        <v>548</v>
      </c>
      <c r="B501" s="17" t="s">
        <v>679</v>
      </c>
      <c r="C501" s="12">
        <v>500</v>
      </c>
      <c r="D501" s="38" t="s">
        <v>783</v>
      </c>
      <c r="E501" s="15"/>
      <c r="F501" s="12" t="s">
        <v>298</v>
      </c>
      <c r="G501" s="12" t="s">
        <v>727</v>
      </c>
      <c r="H501" s="12" t="s">
        <v>164</v>
      </c>
      <c r="I501" s="16" t="s">
        <v>773</v>
      </c>
      <c r="J501" s="12">
        <v>2021</v>
      </c>
      <c r="K501" s="157">
        <v>2028</v>
      </c>
      <c r="L501" s="163" t="s">
        <v>2811</v>
      </c>
      <c r="M501" s="15"/>
      <c r="N501" s="12"/>
      <c r="O501" s="16" t="s">
        <v>59</v>
      </c>
      <c r="P501" s="12" t="s">
        <v>57</v>
      </c>
      <c r="Q501" s="16" t="s">
        <v>891</v>
      </c>
      <c r="R501" s="15" t="s">
        <v>892</v>
      </c>
      <c r="S501" s="28" t="s">
        <v>2631</v>
      </c>
      <c r="T501" s="12">
        <v>0</v>
      </c>
      <c r="U501" s="12"/>
      <c r="V501" s="17"/>
      <c r="W501" s="38"/>
      <c r="X501" s="12"/>
      <c r="Y501" s="17"/>
      <c r="Z501" s="83">
        <v>3100</v>
      </c>
      <c r="AA501" s="83"/>
    </row>
    <row r="502" spans="1:27" s="67" customFormat="1" ht="52.5">
      <c r="A502" s="17" t="s">
        <v>548</v>
      </c>
      <c r="B502" s="17" t="s">
        <v>679</v>
      </c>
      <c r="C502" s="12">
        <v>501</v>
      </c>
      <c r="D502" s="38" t="s">
        <v>2564</v>
      </c>
      <c r="E502" s="15"/>
      <c r="F502" s="12" t="s">
        <v>298</v>
      </c>
      <c r="G502" s="12" t="s">
        <v>730</v>
      </c>
      <c r="H502" s="12" t="s">
        <v>164</v>
      </c>
      <c r="I502" s="16" t="s">
        <v>2565</v>
      </c>
      <c r="J502" s="12">
        <v>2021</v>
      </c>
      <c r="K502" s="157">
        <v>2028</v>
      </c>
      <c r="L502" s="163" t="s">
        <v>2811</v>
      </c>
      <c r="M502" s="15"/>
      <c r="N502" s="12"/>
      <c r="O502" s="16" t="s">
        <v>59</v>
      </c>
      <c r="P502" s="12" t="s">
        <v>57</v>
      </c>
      <c r="Q502" s="16" t="s">
        <v>891</v>
      </c>
      <c r="R502" s="15" t="s">
        <v>1006</v>
      </c>
      <c r="S502" s="28" t="s">
        <v>2631</v>
      </c>
      <c r="T502" s="12">
        <v>0</v>
      </c>
      <c r="U502" s="12"/>
      <c r="V502" s="17"/>
      <c r="W502" s="38"/>
      <c r="X502" s="12"/>
      <c r="Y502" s="17"/>
      <c r="Z502" s="83">
        <v>3100</v>
      </c>
      <c r="AA502" s="83"/>
    </row>
    <row r="503" spans="1:27" s="67" customFormat="1" ht="35">
      <c r="A503" s="17" t="s">
        <v>548</v>
      </c>
      <c r="B503" s="17" t="s">
        <v>679</v>
      </c>
      <c r="C503" s="12">
        <v>502</v>
      </c>
      <c r="D503" s="33" t="s">
        <v>1937</v>
      </c>
      <c r="E503" s="16"/>
      <c r="F503" s="13" t="s">
        <v>682</v>
      </c>
      <c r="G503" s="13" t="s">
        <v>1023</v>
      </c>
      <c r="H503" s="13" t="s">
        <v>164</v>
      </c>
      <c r="I503" s="35" t="s">
        <v>1938</v>
      </c>
      <c r="J503" s="13">
        <v>2023</v>
      </c>
      <c r="K503" s="13">
        <v>2025</v>
      </c>
      <c r="L503" s="16" t="s">
        <v>1939</v>
      </c>
      <c r="M503" s="16"/>
      <c r="N503" s="13"/>
      <c r="O503" s="15" t="s">
        <v>604</v>
      </c>
      <c r="P503" s="13" t="s">
        <v>57</v>
      </c>
      <c r="Q503" s="16" t="s">
        <v>891</v>
      </c>
      <c r="R503" s="15" t="s">
        <v>1094</v>
      </c>
      <c r="S503" s="28" t="s">
        <v>2631</v>
      </c>
      <c r="T503" s="12">
        <v>0</v>
      </c>
      <c r="U503" s="12" t="s">
        <v>1136</v>
      </c>
      <c r="V503" s="17" t="s">
        <v>1136</v>
      </c>
      <c r="W503" s="38" t="s">
        <v>1136</v>
      </c>
      <c r="X503" s="12" t="s">
        <v>1136</v>
      </c>
      <c r="Y503" s="17" t="s">
        <v>1136</v>
      </c>
      <c r="Z503" s="123">
        <v>3100</v>
      </c>
      <c r="AA503" s="83"/>
    </row>
    <row r="504" spans="1:27" s="67" customFormat="1" ht="87.5">
      <c r="A504" s="17" t="s">
        <v>548</v>
      </c>
      <c r="B504" s="17" t="s">
        <v>698</v>
      </c>
      <c r="C504" s="12">
        <v>503</v>
      </c>
      <c r="D504" s="62" t="s">
        <v>645</v>
      </c>
      <c r="E504" s="63" t="s">
        <v>1319</v>
      </c>
      <c r="F504" s="12" t="s">
        <v>659</v>
      </c>
      <c r="G504" s="64" t="s">
        <v>105</v>
      </c>
      <c r="H504" s="12" t="s">
        <v>1132</v>
      </c>
      <c r="I504" s="65" t="s">
        <v>646</v>
      </c>
      <c r="J504" s="12">
        <v>2018</v>
      </c>
      <c r="K504" s="12">
        <v>2021</v>
      </c>
      <c r="L504" s="64" t="s">
        <v>644</v>
      </c>
      <c r="M504" s="64" t="s">
        <v>2266</v>
      </c>
      <c r="N504" s="64" t="s">
        <v>2022</v>
      </c>
      <c r="O504" s="16" t="s">
        <v>204</v>
      </c>
      <c r="P504" s="12" t="s">
        <v>57</v>
      </c>
      <c r="Q504" s="30" t="s">
        <v>891</v>
      </c>
      <c r="R504" s="15" t="s">
        <v>93</v>
      </c>
      <c r="S504" s="28" t="s">
        <v>2631</v>
      </c>
      <c r="T504" s="12">
        <v>0</v>
      </c>
      <c r="U504" s="12"/>
      <c r="V504" s="17"/>
      <c r="W504" s="38"/>
      <c r="X504" s="12"/>
      <c r="Y504" s="17"/>
      <c r="Z504" s="83">
        <v>3300</v>
      </c>
      <c r="AA504" s="83"/>
    </row>
    <row r="505" spans="1:27" s="67" customFormat="1" ht="280">
      <c r="A505" s="17" t="s">
        <v>548</v>
      </c>
      <c r="B505" s="17" t="s">
        <v>698</v>
      </c>
      <c r="C505" s="12">
        <v>504</v>
      </c>
      <c r="D505" s="62" t="s">
        <v>653</v>
      </c>
      <c r="E505" s="63" t="s">
        <v>1082</v>
      </c>
      <c r="F505" s="12" t="s">
        <v>659</v>
      </c>
      <c r="G505" s="64" t="s">
        <v>587</v>
      </c>
      <c r="H505" s="12" t="s">
        <v>1132</v>
      </c>
      <c r="I505" s="65" t="s">
        <v>654</v>
      </c>
      <c r="J505" s="12">
        <v>1997</v>
      </c>
      <c r="K505" s="12">
        <v>2021</v>
      </c>
      <c r="L505" s="64" t="s">
        <v>589</v>
      </c>
      <c r="M505" s="64" t="s">
        <v>709</v>
      </c>
      <c r="N505" s="64" t="s">
        <v>655</v>
      </c>
      <c r="O505" s="16" t="s">
        <v>204</v>
      </c>
      <c r="P505" s="12" t="s">
        <v>57</v>
      </c>
      <c r="Q505" s="30" t="s">
        <v>891</v>
      </c>
      <c r="R505" s="15" t="s">
        <v>892</v>
      </c>
      <c r="S505" s="28" t="s">
        <v>2631</v>
      </c>
      <c r="T505" s="12">
        <v>0</v>
      </c>
      <c r="U505" s="12"/>
      <c r="V505" s="17"/>
      <c r="W505" s="38"/>
      <c r="X505" s="12"/>
      <c r="Y505" s="17"/>
      <c r="Z505" s="83">
        <v>3300</v>
      </c>
      <c r="AA505" s="66"/>
    </row>
    <row r="506" spans="1:27" s="67" customFormat="1" ht="122.5">
      <c r="A506" s="17" t="s">
        <v>548</v>
      </c>
      <c r="B506" s="17" t="s">
        <v>579</v>
      </c>
      <c r="C506" s="12">
        <v>505</v>
      </c>
      <c r="D506" s="38" t="s">
        <v>1081</v>
      </c>
      <c r="E506" s="15" t="s">
        <v>1082</v>
      </c>
      <c r="F506" s="12" t="s">
        <v>659</v>
      </c>
      <c r="G506" s="12" t="s">
        <v>587</v>
      </c>
      <c r="H506" s="12" t="s">
        <v>164</v>
      </c>
      <c r="I506" s="132" t="s">
        <v>708</v>
      </c>
      <c r="J506" s="12">
        <v>1997</v>
      </c>
      <c r="K506" s="12">
        <v>2023</v>
      </c>
      <c r="L506" s="15" t="s">
        <v>589</v>
      </c>
      <c r="M506" s="15" t="s">
        <v>1084</v>
      </c>
      <c r="N506" s="15" t="s">
        <v>655</v>
      </c>
      <c r="O506" s="15" t="s">
        <v>604</v>
      </c>
      <c r="P506" s="12" t="s">
        <v>57</v>
      </c>
      <c r="Q506" s="30" t="s">
        <v>891</v>
      </c>
      <c r="R506" s="15" t="s">
        <v>892</v>
      </c>
      <c r="S506" s="28" t="s">
        <v>2631</v>
      </c>
      <c r="T506" s="12">
        <v>0</v>
      </c>
      <c r="U506" s="12"/>
      <c r="V506" s="17"/>
      <c r="W506" s="38"/>
      <c r="X506" s="12"/>
      <c r="Y506" s="17"/>
      <c r="Z506" s="83">
        <v>3300</v>
      </c>
      <c r="AA506" s="66" t="s">
        <v>2794</v>
      </c>
    </row>
    <row r="507" spans="1:27" s="67" customFormat="1" ht="175">
      <c r="A507" s="17" t="s">
        <v>548</v>
      </c>
      <c r="B507" s="30" t="s">
        <v>579</v>
      </c>
      <c r="C507" s="12">
        <v>506</v>
      </c>
      <c r="D507" s="112" t="s">
        <v>1575</v>
      </c>
      <c r="E507" s="80" t="s">
        <v>1576</v>
      </c>
      <c r="F507" s="12" t="s">
        <v>659</v>
      </c>
      <c r="G507" s="30" t="s">
        <v>587</v>
      </c>
      <c r="H507" s="12" t="s">
        <v>1132</v>
      </c>
      <c r="I507" s="112" t="s">
        <v>588</v>
      </c>
      <c r="J507" s="12">
        <v>2017</v>
      </c>
      <c r="K507" s="30">
        <v>2019</v>
      </c>
      <c r="L507" s="30" t="s">
        <v>589</v>
      </c>
      <c r="M507" s="15"/>
      <c r="N507" s="15"/>
      <c r="O507" s="16" t="s">
        <v>204</v>
      </c>
      <c r="P507" s="30" t="s">
        <v>10</v>
      </c>
      <c r="Q507" s="30" t="s">
        <v>891</v>
      </c>
      <c r="R507" s="15" t="s">
        <v>892</v>
      </c>
      <c r="S507" s="28" t="s">
        <v>2631</v>
      </c>
      <c r="T507" s="12">
        <v>0</v>
      </c>
      <c r="U507" s="12"/>
      <c r="V507" s="17"/>
      <c r="W507" s="38"/>
      <c r="X507" s="12"/>
      <c r="Y507" s="17" t="s">
        <v>67</v>
      </c>
      <c r="Z507" s="83">
        <v>3300</v>
      </c>
      <c r="AA507" s="123"/>
    </row>
    <row r="508" spans="1:27" s="67" customFormat="1" ht="210">
      <c r="A508" s="17" t="s">
        <v>548</v>
      </c>
      <c r="B508" s="30" t="s">
        <v>579</v>
      </c>
      <c r="C508" s="12">
        <v>507</v>
      </c>
      <c r="D508" s="112" t="s">
        <v>1085</v>
      </c>
      <c r="E508" s="80" t="s">
        <v>1577</v>
      </c>
      <c r="F508" s="12" t="s">
        <v>659</v>
      </c>
      <c r="G508" s="30" t="s">
        <v>587</v>
      </c>
      <c r="H508" s="12" t="s">
        <v>1132</v>
      </c>
      <c r="I508" s="112" t="s">
        <v>590</v>
      </c>
      <c r="J508" s="12">
        <v>2017</v>
      </c>
      <c r="K508" s="30">
        <v>2019</v>
      </c>
      <c r="L508" s="30" t="s">
        <v>591</v>
      </c>
      <c r="M508" s="15"/>
      <c r="N508" s="15"/>
      <c r="O508" s="16" t="s">
        <v>204</v>
      </c>
      <c r="P508" s="30" t="s">
        <v>10</v>
      </c>
      <c r="Q508" s="30" t="s">
        <v>891</v>
      </c>
      <c r="R508" s="15" t="s">
        <v>892</v>
      </c>
      <c r="S508" s="28" t="s">
        <v>2631</v>
      </c>
      <c r="T508" s="12">
        <v>0</v>
      </c>
      <c r="U508" s="12"/>
      <c r="V508" s="17"/>
      <c r="W508" s="38"/>
      <c r="X508" s="12"/>
      <c r="Y508" s="17" t="s">
        <v>67</v>
      </c>
      <c r="Z508" s="83">
        <v>3300</v>
      </c>
      <c r="AA508" s="123"/>
    </row>
    <row r="509" spans="1:27" s="67" customFormat="1" ht="210">
      <c r="A509" s="17" t="s">
        <v>548</v>
      </c>
      <c r="B509" s="17" t="s">
        <v>579</v>
      </c>
      <c r="C509" s="12">
        <v>508</v>
      </c>
      <c r="D509" s="62" t="s">
        <v>1085</v>
      </c>
      <c r="E509" s="63" t="s">
        <v>1086</v>
      </c>
      <c r="F509" s="12" t="s">
        <v>659</v>
      </c>
      <c r="G509" s="64" t="s">
        <v>587</v>
      </c>
      <c r="H509" s="12" t="s">
        <v>1132</v>
      </c>
      <c r="I509" s="65" t="s">
        <v>656</v>
      </c>
      <c r="J509" s="12">
        <v>1997</v>
      </c>
      <c r="K509" s="12">
        <v>2021</v>
      </c>
      <c r="L509" s="64" t="s">
        <v>657</v>
      </c>
      <c r="M509" s="64" t="s">
        <v>1323</v>
      </c>
      <c r="N509" s="64" t="s">
        <v>3146</v>
      </c>
      <c r="O509" s="16" t="s">
        <v>204</v>
      </c>
      <c r="P509" s="12" t="s">
        <v>57</v>
      </c>
      <c r="Q509" s="30" t="s">
        <v>891</v>
      </c>
      <c r="R509" s="15" t="s">
        <v>892</v>
      </c>
      <c r="S509" s="28" t="s">
        <v>2631</v>
      </c>
      <c r="T509" s="12">
        <v>0</v>
      </c>
      <c r="U509" s="12"/>
      <c r="V509" s="17"/>
      <c r="W509" s="38"/>
      <c r="X509" s="12"/>
      <c r="Y509" s="17"/>
      <c r="Z509" s="83">
        <v>3300</v>
      </c>
      <c r="AA509" s="66" t="s">
        <v>2794</v>
      </c>
    </row>
    <row r="510" spans="1:27" s="67" customFormat="1" ht="105">
      <c r="A510" s="17" t="s">
        <v>548</v>
      </c>
      <c r="B510" s="17" t="s">
        <v>579</v>
      </c>
      <c r="C510" s="12">
        <v>509</v>
      </c>
      <c r="D510" s="38" t="s">
        <v>1085</v>
      </c>
      <c r="E510" s="15" t="s">
        <v>1086</v>
      </c>
      <c r="F510" s="12" t="s">
        <v>659</v>
      </c>
      <c r="G510" s="12" t="s">
        <v>587</v>
      </c>
      <c r="H510" s="12" t="s">
        <v>164</v>
      </c>
      <c r="I510" s="132" t="s">
        <v>710</v>
      </c>
      <c r="J510" s="12">
        <v>1997</v>
      </c>
      <c r="K510" s="12">
        <v>2023</v>
      </c>
      <c r="L510" s="15" t="s">
        <v>1087</v>
      </c>
      <c r="M510" s="15" t="s">
        <v>1083</v>
      </c>
      <c r="N510" s="15" t="s">
        <v>3145</v>
      </c>
      <c r="O510" s="15" t="s">
        <v>604</v>
      </c>
      <c r="P510" s="12" t="s">
        <v>57</v>
      </c>
      <c r="Q510" s="30" t="s">
        <v>891</v>
      </c>
      <c r="R510" s="15" t="s">
        <v>892</v>
      </c>
      <c r="S510" s="28" t="s">
        <v>2631</v>
      </c>
      <c r="T510" s="12">
        <v>0</v>
      </c>
      <c r="U510" s="12"/>
      <c r="V510" s="17"/>
      <c r="W510" s="38"/>
      <c r="X510" s="12"/>
      <c r="Y510" s="17"/>
      <c r="Z510" s="83">
        <v>3300</v>
      </c>
      <c r="AA510" s="66"/>
    </row>
    <row r="511" spans="1:27" s="67" customFormat="1" ht="87.5">
      <c r="A511" s="17" t="s">
        <v>548</v>
      </c>
      <c r="B511" s="30" t="s">
        <v>579</v>
      </c>
      <c r="C511" s="12">
        <v>510</v>
      </c>
      <c r="D511" s="112" t="s">
        <v>1573</v>
      </c>
      <c r="E511" s="80" t="s">
        <v>1574</v>
      </c>
      <c r="F511" s="12" t="s">
        <v>58</v>
      </c>
      <c r="G511" s="30" t="s">
        <v>3183</v>
      </c>
      <c r="H511" s="12" t="s">
        <v>1132</v>
      </c>
      <c r="I511" s="112" t="s">
        <v>580</v>
      </c>
      <c r="J511" s="12">
        <v>2012</v>
      </c>
      <c r="K511" s="30">
        <v>2014</v>
      </c>
      <c r="L511" s="30" t="s">
        <v>581</v>
      </c>
      <c r="M511" s="15"/>
      <c r="N511" s="15"/>
      <c r="O511" s="15" t="s">
        <v>604</v>
      </c>
      <c r="P511" s="30" t="s">
        <v>10</v>
      </c>
      <c r="Q511" s="30" t="s">
        <v>891</v>
      </c>
      <c r="R511" s="15" t="s">
        <v>93</v>
      </c>
      <c r="S511" s="28" t="s">
        <v>2629</v>
      </c>
      <c r="T511" s="12">
        <v>1</v>
      </c>
      <c r="U511" s="12" t="s">
        <v>2964</v>
      </c>
      <c r="V511" s="17" t="s">
        <v>582</v>
      </c>
      <c r="W511" s="38" t="s">
        <v>1637</v>
      </c>
      <c r="X511" s="12" t="s">
        <v>1595</v>
      </c>
      <c r="Y511" s="17" t="s">
        <v>1642</v>
      </c>
      <c r="Z511" s="83">
        <v>3300</v>
      </c>
      <c r="AA511" s="83"/>
    </row>
    <row r="512" spans="1:27" s="67" customFormat="1" ht="87.5">
      <c r="A512" s="17" t="s">
        <v>548</v>
      </c>
      <c r="B512" s="17" t="s">
        <v>698</v>
      </c>
      <c r="C512" s="12">
        <v>511</v>
      </c>
      <c r="D512" s="62" t="s">
        <v>642</v>
      </c>
      <c r="E512" s="63" t="s">
        <v>1318</v>
      </c>
      <c r="F512" s="12" t="s">
        <v>58</v>
      </c>
      <c r="G512" s="13" t="s">
        <v>3166</v>
      </c>
      <c r="H512" s="12" t="s">
        <v>1132</v>
      </c>
      <c r="I512" s="65" t="s">
        <v>643</v>
      </c>
      <c r="J512" s="12">
        <v>2021</v>
      </c>
      <c r="K512" s="12">
        <v>2022</v>
      </c>
      <c r="L512" s="64" t="s">
        <v>581</v>
      </c>
      <c r="M512" s="64" t="s">
        <v>1076</v>
      </c>
      <c r="N512" s="64" t="s">
        <v>3147</v>
      </c>
      <c r="O512" s="16" t="s">
        <v>204</v>
      </c>
      <c r="P512" s="12" t="s">
        <v>57</v>
      </c>
      <c r="Q512" s="30" t="s">
        <v>891</v>
      </c>
      <c r="R512" s="15" t="s">
        <v>93</v>
      </c>
      <c r="S512" s="28" t="s">
        <v>2631</v>
      </c>
      <c r="T512" s="12">
        <v>0</v>
      </c>
      <c r="U512" s="12"/>
      <c r="V512" s="17"/>
      <c r="W512" s="38"/>
      <c r="X512" s="12"/>
      <c r="Y512" s="17"/>
      <c r="Z512" s="83">
        <v>3300</v>
      </c>
      <c r="AA512" s="66"/>
    </row>
    <row r="513" spans="1:27" s="67" customFormat="1" ht="87.5">
      <c r="A513" s="17" t="s">
        <v>548</v>
      </c>
      <c r="B513" s="17" t="s">
        <v>579</v>
      </c>
      <c r="C513" s="12">
        <v>512</v>
      </c>
      <c r="D513" s="38" t="s">
        <v>1074</v>
      </c>
      <c r="E513" s="15" t="s">
        <v>1075</v>
      </c>
      <c r="F513" s="12" t="s">
        <v>659</v>
      </c>
      <c r="G513" s="12" t="s">
        <v>704</v>
      </c>
      <c r="H513" s="12" t="s">
        <v>164</v>
      </c>
      <c r="I513" s="132" t="s">
        <v>646</v>
      </c>
      <c r="J513" s="12">
        <v>2022</v>
      </c>
      <c r="K513" s="12">
        <v>2024</v>
      </c>
      <c r="L513" s="15" t="s">
        <v>705</v>
      </c>
      <c r="M513" s="15" t="s">
        <v>1076</v>
      </c>
      <c r="N513" s="15"/>
      <c r="O513" s="16" t="s">
        <v>204</v>
      </c>
      <c r="P513" s="12" t="s">
        <v>57</v>
      </c>
      <c r="Q513" s="30" t="s">
        <v>891</v>
      </c>
      <c r="R513" s="15" t="s">
        <v>93</v>
      </c>
      <c r="S513" s="28" t="s">
        <v>2631</v>
      </c>
      <c r="T513" s="12">
        <v>0</v>
      </c>
      <c r="U513" s="12"/>
      <c r="V513" s="17"/>
      <c r="W513" s="38"/>
      <c r="X513" s="12"/>
      <c r="Y513" s="17"/>
      <c r="Z513" s="83">
        <v>3300</v>
      </c>
      <c r="AA513" s="83"/>
    </row>
    <row r="514" spans="1:27" s="67" customFormat="1" ht="70">
      <c r="A514" s="17" t="s">
        <v>548</v>
      </c>
      <c r="B514" s="17" t="s">
        <v>579</v>
      </c>
      <c r="C514" s="12">
        <v>513</v>
      </c>
      <c r="D514" s="38" t="s">
        <v>712</v>
      </c>
      <c r="E514" s="46" t="s">
        <v>2023</v>
      </c>
      <c r="F514" s="12" t="s">
        <v>659</v>
      </c>
      <c r="G514" s="12" t="s">
        <v>711</v>
      </c>
      <c r="H514" s="29" t="s">
        <v>811</v>
      </c>
      <c r="I514" s="132" t="s">
        <v>713</v>
      </c>
      <c r="J514" s="12">
        <v>2021</v>
      </c>
      <c r="K514" s="12">
        <v>2024</v>
      </c>
      <c r="L514" s="15" t="s">
        <v>714</v>
      </c>
      <c r="M514" s="15"/>
      <c r="N514" s="15"/>
      <c r="O514" s="15" t="s">
        <v>604</v>
      </c>
      <c r="P514" s="12" t="s">
        <v>57</v>
      </c>
      <c r="Q514" s="30" t="s">
        <v>891</v>
      </c>
      <c r="R514" s="15" t="s">
        <v>1006</v>
      </c>
      <c r="S514" s="28" t="s">
        <v>2631</v>
      </c>
      <c r="T514" s="12">
        <v>0</v>
      </c>
      <c r="U514" s="12"/>
      <c r="V514" s="17"/>
      <c r="W514" s="38"/>
      <c r="X514" s="12"/>
      <c r="Y514" s="17"/>
      <c r="Z514" s="83">
        <v>3300</v>
      </c>
      <c r="AA514" s="83"/>
    </row>
    <row r="515" spans="1:27" s="67" customFormat="1" ht="87.5">
      <c r="A515" s="17" t="s">
        <v>548</v>
      </c>
      <c r="B515" s="30" t="s">
        <v>579</v>
      </c>
      <c r="C515" s="12">
        <v>514</v>
      </c>
      <c r="D515" s="112" t="s">
        <v>2545</v>
      </c>
      <c r="E515" s="95"/>
      <c r="F515" s="13" t="s">
        <v>659</v>
      </c>
      <c r="G515" s="30" t="s">
        <v>2546</v>
      </c>
      <c r="H515" s="13" t="s">
        <v>164</v>
      </c>
      <c r="I515" s="112" t="s">
        <v>2547</v>
      </c>
      <c r="J515" s="13">
        <v>2019</v>
      </c>
      <c r="K515" s="30">
        <v>2025</v>
      </c>
      <c r="L515" s="30" t="s">
        <v>2548</v>
      </c>
      <c r="M515" s="16" t="s">
        <v>3071</v>
      </c>
      <c r="N515" s="16"/>
      <c r="O515" s="15" t="s">
        <v>604</v>
      </c>
      <c r="P515" s="30" t="s">
        <v>57</v>
      </c>
      <c r="Q515" s="30" t="s">
        <v>891</v>
      </c>
      <c r="R515" s="15" t="s">
        <v>93</v>
      </c>
      <c r="S515" s="28" t="s">
        <v>2631</v>
      </c>
      <c r="T515" s="12">
        <v>0</v>
      </c>
      <c r="U515" s="12"/>
      <c r="V515" s="17"/>
      <c r="W515" s="38"/>
      <c r="X515" s="12"/>
      <c r="Y515" s="17"/>
      <c r="Z515" s="123"/>
      <c r="AA515" s="83"/>
    </row>
    <row r="516" spans="1:27" s="59" customFormat="1" ht="122.5">
      <c r="A516" s="17" t="s">
        <v>548</v>
      </c>
      <c r="B516" s="13" t="s">
        <v>698</v>
      </c>
      <c r="C516" s="12">
        <v>515</v>
      </c>
      <c r="D516" s="62" t="s">
        <v>635</v>
      </c>
      <c r="E516" s="63" t="s">
        <v>2544</v>
      </c>
      <c r="F516" s="12" t="s">
        <v>403</v>
      </c>
      <c r="G516" s="64" t="s">
        <v>2618</v>
      </c>
      <c r="H516" s="12" t="s">
        <v>1132</v>
      </c>
      <c r="I516" s="65" t="s">
        <v>636</v>
      </c>
      <c r="J516" s="29">
        <v>2011</v>
      </c>
      <c r="K516" s="29">
        <v>2022</v>
      </c>
      <c r="L516" s="64" t="s">
        <v>637</v>
      </c>
      <c r="M516" s="64" t="s">
        <v>67</v>
      </c>
      <c r="N516" s="12"/>
      <c r="O516" s="15" t="s">
        <v>604</v>
      </c>
      <c r="P516" s="12" t="s">
        <v>57</v>
      </c>
      <c r="Q516" s="12" t="s">
        <v>859</v>
      </c>
      <c r="R516" s="15" t="s">
        <v>862</v>
      </c>
      <c r="S516" s="28" t="s">
        <v>2631</v>
      </c>
      <c r="T516" s="12">
        <v>0</v>
      </c>
      <c r="U516" s="12" t="s">
        <v>641</v>
      </c>
      <c r="V516" s="17" t="s">
        <v>640</v>
      </c>
      <c r="W516" s="38" t="s">
        <v>638</v>
      </c>
      <c r="X516" s="12" t="s">
        <v>1317</v>
      </c>
      <c r="Y516" s="17" t="s">
        <v>639</v>
      </c>
      <c r="Z516" s="66"/>
      <c r="AA516" s="83"/>
    </row>
    <row r="517" spans="1:27" s="67" customFormat="1" ht="87.5">
      <c r="A517" s="17" t="s">
        <v>548</v>
      </c>
      <c r="B517" s="17" t="s">
        <v>579</v>
      </c>
      <c r="C517" s="12">
        <v>516</v>
      </c>
      <c r="D517" s="38" t="s">
        <v>1070</v>
      </c>
      <c r="E517" s="15" t="s">
        <v>1071</v>
      </c>
      <c r="F517" s="12" t="s">
        <v>403</v>
      </c>
      <c r="G517" s="12" t="s">
        <v>1072</v>
      </c>
      <c r="H517" s="164" t="s">
        <v>1132</v>
      </c>
      <c r="I517" s="132" t="s">
        <v>702</v>
      </c>
      <c r="J517" s="12">
        <v>2019</v>
      </c>
      <c r="K517" s="12">
        <v>2023</v>
      </c>
      <c r="L517" s="15" t="s">
        <v>1073</v>
      </c>
      <c r="M517" s="15"/>
      <c r="N517" s="15"/>
      <c r="O517" s="15" t="s">
        <v>604</v>
      </c>
      <c r="P517" s="12" t="s">
        <v>57</v>
      </c>
      <c r="Q517" s="30" t="s">
        <v>891</v>
      </c>
      <c r="R517" s="15" t="s">
        <v>892</v>
      </c>
      <c r="S517" s="28" t="s">
        <v>2631</v>
      </c>
      <c r="T517" s="12">
        <v>0</v>
      </c>
      <c r="U517" s="12"/>
      <c r="V517" s="17"/>
      <c r="W517" s="38"/>
      <c r="X517" s="12"/>
      <c r="Y517" s="17"/>
      <c r="Z517" s="83">
        <v>3300</v>
      </c>
      <c r="AA517" s="83"/>
    </row>
    <row r="518" spans="1:27" s="67" customFormat="1" ht="87.5">
      <c r="A518" s="17" t="s">
        <v>548</v>
      </c>
      <c r="B518" s="17" t="s">
        <v>579</v>
      </c>
      <c r="C518" s="12">
        <v>517</v>
      </c>
      <c r="D518" s="38" t="s">
        <v>1070</v>
      </c>
      <c r="E518" s="15" t="s">
        <v>1071</v>
      </c>
      <c r="F518" s="12" t="s">
        <v>403</v>
      </c>
      <c r="G518" s="12" t="s">
        <v>1072</v>
      </c>
      <c r="H518" s="164" t="s">
        <v>1132</v>
      </c>
      <c r="I518" s="132" t="s">
        <v>703</v>
      </c>
      <c r="J518" s="12">
        <v>2019</v>
      </c>
      <c r="K518" s="12">
        <v>2023</v>
      </c>
      <c r="L518" s="15" t="s">
        <v>1073</v>
      </c>
      <c r="M518" s="15"/>
      <c r="N518" s="15"/>
      <c r="O518" s="15" t="s">
        <v>604</v>
      </c>
      <c r="P518" s="12" t="s">
        <v>57</v>
      </c>
      <c r="Q518" s="30" t="s">
        <v>891</v>
      </c>
      <c r="R518" s="15" t="s">
        <v>892</v>
      </c>
      <c r="S518" s="28" t="s">
        <v>2631</v>
      </c>
      <c r="T518" s="12">
        <v>0</v>
      </c>
      <c r="U518" s="12"/>
      <c r="V518" s="17"/>
      <c r="W518" s="38"/>
      <c r="X518" s="12"/>
      <c r="Y518" s="17"/>
      <c r="Z518" s="83">
        <v>3300</v>
      </c>
      <c r="AA518" s="83"/>
    </row>
    <row r="519" spans="1:27" s="67" customFormat="1" ht="140">
      <c r="A519" s="17" t="s">
        <v>548</v>
      </c>
      <c r="B519" s="17" t="s">
        <v>579</v>
      </c>
      <c r="C519" s="12">
        <v>518</v>
      </c>
      <c r="D519" s="38" t="s">
        <v>2567</v>
      </c>
      <c r="E519" s="15" t="s">
        <v>699</v>
      </c>
      <c r="F519" s="12" t="s">
        <v>403</v>
      </c>
      <c r="G519" s="12" t="s">
        <v>1068</v>
      </c>
      <c r="H519" s="12" t="s">
        <v>164</v>
      </c>
      <c r="I519" s="132" t="s">
        <v>700</v>
      </c>
      <c r="J519" s="12">
        <v>2021</v>
      </c>
      <c r="K519" s="12">
        <v>2024</v>
      </c>
      <c r="L519" s="15" t="s">
        <v>701</v>
      </c>
      <c r="M519" s="15" t="s">
        <v>1069</v>
      </c>
      <c r="N519" s="16"/>
      <c r="O519" s="15" t="s">
        <v>604</v>
      </c>
      <c r="P519" s="12" t="s">
        <v>57</v>
      </c>
      <c r="Q519" s="30" t="s">
        <v>859</v>
      </c>
      <c r="R519" s="15" t="s">
        <v>862</v>
      </c>
      <c r="S519" s="28" t="s">
        <v>2631</v>
      </c>
      <c r="T519" s="12">
        <v>0</v>
      </c>
      <c r="U519" s="12"/>
      <c r="V519" s="17"/>
      <c r="W519" s="38"/>
      <c r="X519" s="12"/>
      <c r="Y519" s="17"/>
      <c r="Z519" s="83">
        <v>3300</v>
      </c>
      <c r="AA519" s="123"/>
    </row>
    <row r="520" spans="1:27" s="67" customFormat="1" ht="210">
      <c r="A520" s="17" t="s">
        <v>548</v>
      </c>
      <c r="B520" s="17" t="s">
        <v>579</v>
      </c>
      <c r="C520" s="12">
        <v>519</v>
      </c>
      <c r="D520" s="38" t="s">
        <v>1077</v>
      </c>
      <c r="E520" s="15" t="s">
        <v>1078</v>
      </c>
      <c r="F520" s="12" t="s">
        <v>534</v>
      </c>
      <c r="G520" s="12" t="s">
        <v>784</v>
      </c>
      <c r="H520" s="12" t="s">
        <v>164</v>
      </c>
      <c r="I520" s="132" t="s">
        <v>706</v>
      </c>
      <c r="J520" s="12">
        <v>2019</v>
      </c>
      <c r="K520" s="12">
        <v>2024</v>
      </c>
      <c r="L520" s="15" t="s">
        <v>707</v>
      </c>
      <c r="M520" s="15"/>
      <c r="N520" s="15"/>
      <c r="O520" s="15" t="s">
        <v>604</v>
      </c>
      <c r="P520" s="12" t="s">
        <v>57</v>
      </c>
      <c r="Q520" s="30" t="s">
        <v>891</v>
      </c>
      <c r="R520" s="15" t="s">
        <v>892</v>
      </c>
      <c r="S520" s="28" t="s">
        <v>2629</v>
      </c>
      <c r="T520" s="12">
        <v>1</v>
      </c>
      <c r="U520" s="12" t="s">
        <v>1781</v>
      </c>
      <c r="V520" s="17" t="s">
        <v>1079</v>
      </c>
      <c r="W520" s="38" t="s">
        <v>1080</v>
      </c>
      <c r="X520" s="12" t="s">
        <v>2970</v>
      </c>
      <c r="Y520" s="17" t="s">
        <v>586</v>
      </c>
      <c r="Z520" s="83">
        <v>3300</v>
      </c>
      <c r="AA520" s="123"/>
    </row>
    <row r="521" spans="1:27" s="67" customFormat="1" ht="227.5">
      <c r="A521" s="17" t="s">
        <v>548</v>
      </c>
      <c r="B521" s="30" t="s">
        <v>579</v>
      </c>
      <c r="C521" s="12">
        <v>520</v>
      </c>
      <c r="D521" s="112" t="s">
        <v>583</v>
      </c>
      <c r="E521" s="15" t="s">
        <v>2267</v>
      </c>
      <c r="F521" s="12" t="s">
        <v>534</v>
      </c>
      <c r="G521" s="30">
        <v>802.22</v>
      </c>
      <c r="H521" s="12" t="s">
        <v>1132</v>
      </c>
      <c r="I521" s="49" t="s">
        <v>584</v>
      </c>
      <c r="J521" s="12">
        <v>2009</v>
      </c>
      <c r="K521" s="30">
        <v>2011</v>
      </c>
      <c r="L521" s="30" t="s">
        <v>585</v>
      </c>
      <c r="M521" s="15"/>
      <c r="N521" s="15"/>
      <c r="O521" s="15" t="s">
        <v>604</v>
      </c>
      <c r="P521" s="30" t="s">
        <v>10</v>
      </c>
      <c r="Q521" s="30" t="s">
        <v>859</v>
      </c>
      <c r="R521" s="15" t="s">
        <v>862</v>
      </c>
      <c r="S521" s="28" t="s">
        <v>2629</v>
      </c>
      <c r="T521" s="12">
        <v>1</v>
      </c>
      <c r="U521" s="12" t="s">
        <v>2964</v>
      </c>
      <c r="V521" s="17" t="s">
        <v>3030</v>
      </c>
      <c r="W521" s="38" t="s">
        <v>1638</v>
      </c>
      <c r="X521" s="12" t="s">
        <v>1644</v>
      </c>
      <c r="Y521" s="17" t="s">
        <v>1643</v>
      </c>
      <c r="Z521" s="83">
        <v>3300</v>
      </c>
      <c r="AA521" s="123"/>
    </row>
    <row r="522" spans="1:27" s="67" customFormat="1" ht="280">
      <c r="A522" s="17" t="s">
        <v>548</v>
      </c>
      <c r="B522" s="17" t="s">
        <v>698</v>
      </c>
      <c r="C522" s="12">
        <v>521</v>
      </c>
      <c r="D522" s="62" t="s">
        <v>647</v>
      </c>
      <c r="E522" s="133" t="s">
        <v>647</v>
      </c>
      <c r="F522" s="12" t="s">
        <v>534</v>
      </c>
      <c r="G522" s="30" t="s">
        <v>802</v>
      </c>
      <c r="H522" s="12" t="s">
        <v>1132</v>
      </c>
      <c r="I522" s="65" t="s">
        <v>648</v>
      </c>
      <c r="J522" s="12">
        <v>2016</v>
      </c>
      <c r="K522" s="12">
        <v>2021</v>
      </c>
      <c r="L522" s="64" t="s">
        <v>649</v>
      </c>
      <c r="M522" s="64" t="s">
        <v>1136</v>
      </c>
      <c r="N522" s="64"/>
      <c r="O522" s="15" t="s">
        <v>604</v>
      </c>
      <c r="P522" s="12" t="s">
        <v>57</v>
      </c>
      <c r="Q522" s="30" t="s">
        <v>891</v>
      </c>
      <c r="R522" s="15" t="s">
        <v>892</v>
      </c>
      <c r="S522" s="28" t="s">
        <v>2629</v>
      </c>
      <c r="T522" s="12">
        <v>1</v>
      </c>
      <c r="U522" s="12" t="s">
        <v>2964</v>
      </c>
      <c r="V522" s="17" t="s">
        <v>652</v>
      </c>
      <c r="W522" s="38" t="s">
        <v>650</v>
      </c>
      <c r="X522" s="12" t="s">
        <v>651</v>
      </c>
      <c r="Y522" s="17" t="s">
        <v>586</v>
      </c>
      <c r="Z522" s="83">
        <v>3300</v>
      </c>
      <c r="AA522" s="123"/>
    </row>
    <row r="523" spans="1:27" s="67" customFormat="1" ht="140">
      <c r="A523" s="13" t="s">
        <v>456</v>
      </c>
      <c r="B523" s="13" t="s">
        <v>457</v>
      </c>
      <c r="C523" s="12">
        <v>522</v>
      </c>
      <c r="D523" s="38" t="s">
        <v>1286</v>
      </c>
      <c r="E523" s="15" t="s">
        <v>1284</v>
      </c>
      <c r="F523" s="12" t="s">
        <v>58</v>
      </c>
      <c r="G523" s="16" t="s">
        <v>771</v>
      </c>
      <c r="H523" s="13" t="s">
        <v>1132</v>
      </c>
      <c r="I523" s="33" t="s">
        <v>478</v>
      </c>
      <c r="J523" s="12">
        <v>2015</v>
      </c>
      <c r="K523" s="12">
        <v>2020</v>
      </c>
      <c r="L523" s="55" t="s">
        <v>479</v>
      </c>
      <c r="M523" s="15"/>
      <c r="N523" s="12"/>
      <c r="O523" s="16" t="s">
        <v>204</v>
      </c>
      <c r="P523" s="12" t="s">
        <v>57</v>
      </c>
      <c r="Q523" s="30" t="s">
        <v>864</v>
      </c>
      <c r="R523" s="15" t="s">
        <v>43</v>
      </c>
      <c r="S523" s="28" t="s">
        <v>2629</v>
      </c>
      <c r="T523" s="12">
        <v>1</v>
      </c>
      <c r="U523" s="12" t="s">
        <v>2964</v>
      </c>
      <c r="V523" s="17" t="s">
        <v>481</v>
      </c>
      <c r="W523" s="38" t="s">
        <v>480</v>
      </c>
      <c r="X523" s="12" t="s">
        <v>2970</v>
      </c>
      <c r="Y523" s="17" t="s">
        <v>1283</v>
      </c>
      <c r="Z523" s="83"/>
      <c r="AA523" s="83"/>
    </row>
    <row r="524" spans="1:27" s="67" customFormat="1" ht="140">
      <c r="A524" s="13" t="s">
        <v>456</v>
      </c>
      <c r="B524" s="13" t="s">
        <v>457</v>
      </c>
      <c r="C524" s="12">
        <v>523</v>
      </c>
      <c r="D524" s="38" t="s">
        <v>1286</v>
      </c>
      <c r="E524" s="15" t="s">
        <v>1285</v>
      </c>
      <c r="F524" s="12" t="s">
        <v>770</v>
      </c>
      <c r="G524" s="16" t="s">
        <v>2611</v>
      </c>
      <c r="H524" s="13" t="s">
        <v>1132</v>
      </c>
      <c r="I524" s="33" t="s">
        <v>478</v>
      </c>
      <c r="J524" s="12">
        <v>2015</v>
      </c>
      <c r="K524" s="12">
        <v>2020</v>
      </c>
      <c r="L524" s="55" t="s">
        <v>479</v>
      </c>
      <c r="M524" s="15"/>
      <c r="N524" s="12"/>
      <c r="O524" s="16" t="s">
        <v>204</v>
      </c>
      <c r="P524" s="12" t="s">
        <v>57</v>
      </c>
      <c r="Q524" s="30" t="s">
        <v>864</v>
      </c>
      <c r="R524" s="15" t="s">
        <v>43</v>
      </c>
      <c r="S524" s="28" t="s">
        <v>2629</v>
      </c>
      <c r="T524" s="12">
        <v>1</v>
      </c>
      <c r="U524" s="12" t="s">
        <v>2964</v>
      </c>
      <c r="V524" s="17" t="s">
        <v>481</v>
      </c>
      <c r="W524" s="38" t="s">
        <v>480</v>
      </c>
      <c r="X524" s="12" t="s">
        <v>2970</v>
      </c>
      <c r="Y524" s="17" t="s">
        <v>1283</v>
      </c>
      <c r="Z524" s="83"/>
      <c r="AA524" s="83"/>
    </row>
    <row r="525" spans="1:27" s="109" customFormat="1" ht="105">
      <c r="A525" s="13" t="s">
        <v>456</v>
      </c>
      <c r="B525" s="13" t="s">
        <v>457</v>
      </c>
      <c r="C525" s="12">
        <v>524</v>
      </c>
      <c r="D525" s="33" t="s">
        <v>465</v>
      </c>
      <c r="E525" s="15"/>
      <c r="F525" s="12" t="s">
        <v>985</v>
      </c>
      <c r="G525" s="16" t="s">
        <v>2613</v>
      </c>
      <c r="H525" s="12" t="s">
        <v>1132</v>
      </c>
      <c r="I525" s="33" t="s">
        <v>466</v>
      </c>
      <c r="J525" s="12">
        <v>2015</v>
      </c>
      <c r="K525" s="16">
        <v>2017</v>
      </c>
      <c r="L525" s="16" t="s">
        <v>467</v>
      </c>
      <c r="M525" s="15"/>
      <c r="N525" s="12"/>
      <c r="O525" s="15" t="s">
        <v>604</v>
      </c>
      <c r="P525" s="16" t="s">
        <v>10</v>
      </c>
      <c r="Q525" s="30" t="s">
        <v>864</v>
      </c>
      <c r="R525" s="15" t="s">
        <v>43</v>
      </c>
      <c r="S525" s="28" t="s">
        <v>2629</v>
      </c>
      <c r="T525" s="12">
        <v>2</v>
      </c>
      <c r="U525" s="15" t="s">
        <v>2991</v>
      </c>
      <c r="V525" s="30" t="s">
        <v>3031</v>
      </c>
      <c r="W525" s="38" t="s">
        <v>1626</v>
      </c>
      <c r="X525" s="12" t="s">
        <v>1627</v>
      </c>
      <c r="Y525" s="17" t="s">
        <v>989</v>
      </c>
      <c r="Z525" s="67"/>
      <c r="AA525" s="83"/>
    </row>
    <row r="526" spans="1:27" s="59" customFormat="1" ht="122.5">
      <c r="A526" s="13" t="s">
        <v>456</v>
      </c>
      <c r="B526" s="13" t="s">
        <v>457</v>
      </c>
      <c r="C526" s="12">
        <v>525</v>
      </c>
      <c r="D526" s="38" t="s">
        <v>493</v>
      </c>
      <c r="E526" s="15" t="s">
        <v>493</v>
      </c>
      <c r="F526" s="12" t="s">
        <v>985</v>
      </c>
      <c r="G526" s="16" t="s">
        <v>2612</v>
      </c>
      <c r="H526" s="13" t="s">
        <v>1132</v>
      </c>
      <c r="I526" s="33" t="s">
        <v>494</v>
      </c>
      <c r="J526" s="12">
        <v>2020</v>
      </c>
      <c r="K526" s="12">
        <v>2022</v>
      </c>
      <c r="L526" s="55" t="s">
        <v>467</v>
      </c>
      <c r="M526" s="15"/>
      <c r="N526" s="12"/>
      <c r="O526" s="15" t="s">
        <v>765</v>
      </c>
      <c r="P526" s="12" t="s">
        <v>57</v>
      </c>
      <c r="Q526" s="30" t="s">
        <v>864</v>
      </c>
      <c r="R526" s="15" t="s">
        <v>43</v>
      </c>
      <c r="S526" s="28" t="s">
        <v>2629</v>
      </c>
      <c r="T526" s="12">
        <v>2</v>
      </c>
      <c r="U526" s="15" t="s">
        <v>2975</v>
      </c>
      <c r="V526" s="30" t="s">
        <v>468</v>
      </c>
      <c r="W526" s="38" t="s">
        <v>1295</v>
      </c>
      <c r="X526" s="12" t="s">
        <v>12</v>
      </c>
      <c r="Y526" s="17" t="s">
        <v>467</v>
      </c>
      <c r="Z526" s="83"/>
      <c r="AA526" s="83"/>
    </row>
    <row r="527" spans="1:27" s="109" customFormat="1" ht="87.5">
      <c r="A527" s="13" t="s">
        <v>456</v>
      </c>
      <c r="B527" s="13" t="s">
        <v>457</v>
      </c>
      <c r="C527" s="12">
        <v>526</v>
      </c>
      <c r="D527" s="38" t="s">
        <v>983</v>
      </c>
      <c r="E527" s="15" t="s">
        <v>984</v>
      </c>
      <c r="F527" s="12" t="s">
        <v>985</v>
      </c>
      <c r="G527" s="12" t="s">
        <v>986</v>
      </c>
      <c r="H527" s="164" t="s">
        <v>1132</v>
      </c>
      <c r="I527" s="14" t="s">
        <v>521</v>
      </c>
      <c r="J527" s="12">
        <v>2022</v>
      </c>
      <c r="K527" s="164">
        <v>2025</v>
      </c>
      <c r="L527" s="15" t="s">
        <v>467</v>
      </c>
      <c r="M527" s="15"/>
      <c r="N527" s="12"/>
      <c r="O527" s="15" t="s">
        <v>765</v>
      </c>
      <c r="P527" s="12" t="s">
        <v>57</v>
      </c>
      <c r="Q527" s="30" t="s">
        <v>864</v>
      </c>
      <c r="R527" s="15" t="s">
        <v>43</v>
      </c>
      <c r="S527" s="28" t="s">
        <v>2629</v>
      </c>
      <c r="T527" s="12">
        <v>2</v>
      </c>
      <c r="U527" s="15" t="s">
        <v>2956</v>
      </c>
      <c r="V527" s="30" t="s">
        <v>3032</v>
      </c>
      <c r="W527" s="38" t="s">
        <v>987</v>
      </c>
      <c r="X527" s="12" t="s">
        <v>988</v>
      </c>
      <c r="Y527" s="17" t="s">
        <v>989</v>
      </c>
      <c r="Z527" s="67"/>
      <c r="AA527" s="83"/>
    </row>
    <row r="528" spans="1:27" s="67" customFormat="1" ht="105">
      <c r="A528" s="13" t="s">
        <v>456</v>
      </c>
      <c r="B528" s="28" t="s">
        <v>482</v>
      </c>
      <c r="C528" s="12">
        <v>527</v>
      </c>
      <c r="D528" s="47" t="s">
        <v>1887</v>
      </c>
      <c r="E528" s="48" t="s">
        <v>1888</v>
      </c>
      <c r="F528" s="28" t="s">
        <v>770</v>
      </c>
      <c r="G528" s="28" t="s">
        <v>1886</v>
      </c>
      <c r="H528" s="28" t="s">
        <v>164</v>
      </c>
      <c r="I528" s="48" t="s">
        <v>1889</v>
      </c>
      <c r="J528" s="28">
        <v>2018</v>
      </c>
      <c r="K528" s="28">
        <v>2025</v>
      </c>
      <c r="L528" s="48" t="s">
        <v>1890</v>
      </c>
      <c r="M528" s="48"/>
      <c r="N528" s="28"/>
      <c r="O528" s="16" t="s">
        <v>204</v>
      </c>
      <c r="P528" s="28" t="s">
        <v>57</v>
      </c>
      <c r="Q528" s="30" t="s">
        <v>864</v>
      </c>
      <c r="R528" s="15" t="s">
        <v>44</v>
      </c>
      <c r="S528" s="28" t="s">
        <v>2631</v>
      </c>
      <c r="T528" s="12">
        <v>0</v>
      </c>
      <c r="U528" s="12"/>
      <c r="V528" s="17"/>
      <c r="W528" s="38"/>
      <c r="X528" s="12"/>
      <c r="Y528" s="17"/>
      <c r="Z528" s="57"/>
      <c r="AA528" s="123"/>
    </row>
    <row r="529" spans="1:27" s="67" customFormat="1" ht="140">
      <c r="A529" s="13" t="s">
        <v>456</v>
      </c>
      <c r="B529" s="13" t="s">
        <v>482</v>
      </c>
      <c r="C529" s="12">
        <v>528</v>
      </c>
      <c r="D529" s="33" t="s">
        <v>1538</v>
      </c>
      <c r="E529" s="15" t="s">
        <v>1539</v>
      </c>
      <c r="F529" s="12" t="s">
        <v>403</v>
      </c>
      <c r="G529" s="16" t="s">
        <v>978</v>
      </c>
      <c r="H529" s="29" t="s">
        <v>1132</v>
      </c>
      <c r="I529" s="47" t="s">
        <v>756</v>
      </c>
      <c r="J529" s="29">
        <v>2015</v>
      </c>
      <c r="K529" s="48">
        <v>2019</v>
      </c>
      <c r="L529" s="48" t="s">
        <v>464</v>
      </c>
      <c r="M529" s="46"/>
      <c r="N529" s="29"/>
      <c r="O529" s="15" t="s">
        <v>604</v>
      </c>
      <c r="P529" s="16" t="s">
        <v>10</v>
      </c>
      <c r="Q529" s="30" t="s">
        <v>864</v>
      </c>
      <c r="R529" s="15" t="s">
        <v>43</v>
      </c>
      <c r="S529" s="28" t="s">
        <v>2631</v>
      </c>
      <c r="T529" s="12">
        <v>0</v>
      </c>
      <c r="U529" s="12"/>
      <c r="V529" s="17"/>
      <c r="W529" s="38"/>
      <c r="X529" s="12"/>
      <c r="Y529" s="17"/>
      <c r="AA529" s="83"/>
    </row>
    <row r="530" spans="1:27" s="67" customFormat="1" ht="122.5">
      <c r="A530" s="13" t="s">
        <v>456</v>
      </c>
      <c r="B530" s="13" t="s">
        <v>457</v>
      </c>
      <c r="C530" s="12">
        <v>529</v>
      </c>
      <c r="D530" s="38" t="s">
        <v>976</v>
      </c>
      <c r="E530" s="15" t="s">
        <v>977</v>
      </c>
      <c r="F530" s="12" t="s">
        <v>403</v>
      </c>
      <c r="G530" s="12" t="s">
        <v>978</v>
      </c>
      <c r="H530" s="29" t="s">
        <v>164</v>
      </c>
      <c r="I530" s="44" t="s">
        <v>515</v>
      </c>
      <c r="J530" s="29">
        <v>2019</v>
      </c>
      <c r="K530" s="29">
        <v>2027</v>
      </c>
      <c r="L530" s="46" t="s">
        <v>516</v>
      </c>
      <c r="M530" s="46" t="s">
        <v>979</v>
      </c>
      <c r="N530" s="29"/>
      <c r="O530" s="16" t="s">
        <v>204</v>
      </c>
      <c r="P530" s="12" t="s">
        <v>57</v>
      </c>
      <c r="Q530" s="30" t="s">
        <v>864</v>
      </c>
      <c r="R530" s="15" t="s">
        <v>43</v>
      </c>
      <c r="S530" s="28" t="s">
        <v>2629</v>
      </c>
      <c r="T530" s="12">
        <v>1</v>
      </c>
      <c r="U530" s="12" t="s">
        <v>1781</v>
      </c>
      <c r="V530" s="17" t="s">
        <v>980</v>
      </c>
      <c r="W530" s="38" t="s">
        <v>517</v>
      </c>
      <c r="X530" s="12" t="s">
        <v>2970</v>
      </c>
      <c r="Y530" s="17" t="s">
        <v>516</v>
      </c>
      <c r="AA530" s="83"/>
    </row>
    <row r="531" spans="1:27" s="67" customFormat="1" ht="140">
      <c r="A531" s="13" t="s">
        <v>456</v>
      </c>
      <c r="B531" s="13" t="s">
        <v>457</v>
      </c>
      <c r="C531" s="12">
        <v>530</v>
      </c>
      <c r="D531" s="33" t="s">
        <v>518</v>
      </c>
      <c r="E531" s="15"/>
      <c r="F531" s="12" t="s">
        <v>770</v>
      </c>
      <c r="G531" s="12" t="s">
        <v>981</v>
      </c>
      <c r="H531" s="29" t="s">
        <v>389</v>
      </c>
      <c r="I531" s="44" t="s">
        <v>519</v>
      </c>
      <c r="J531" s="29">
        <v>2023</v>
      </c>
      <c r="K531" s="29">
        <v>2024</v>
      </c>
      <c r="L531" s="46" t="s">
        <v>516</v>
      </c>
      <c r="M531" s="46"/>
      <c r="N531" s="48" t="s">
        <v>2269</v>
      </c>
      <c r="O531" s="16" t="s">
        <v>204</v>
      </c>
      <c r="P531" s="12" t="s">
        <v>57</v>
      </c>
      <c r="Q531" s="30" t="s">
        <v>864</v>
      </c>
      <c r="R531" s="15" t="s">
        <v>43</v>
      </c>
      <c r="S531" s="28" t="s">
        <v>2631</v>
      </c>
      <c r="T531" s="12">
        <v>0</v>
      </c>
      <c r="U531" s="12"/>
      <c r="V531" s="17"/>
      <c r="W531" s="38"/>
      <c r="X531" s="12"/>
      <c r="Y531" s="17"/>
      <c r="AA531" s="66"/>
    </row>
    <row r="532" spans="1:27" s="67" customFormat="1" ht="122.5">
      <c r="A532" s="13" t="s">
        <v>456</v>
      </c>
      <c r="B532" s="13" t="s">
        <v>457</v>
      </c>
      <c r="C532" s="12">
        <v>531</v>
      </c>
      <c r="D532" s="38" t="s">
        <v>982</v>
      </c>
      <c r="E532" s="15" t="s">
        <v>2268</v>
      </c>
      <c r="F532" s="12" t="s">
        <v>534</v>
      </c>
      <c r="G532" s="12">
        <v>2888</v>
      </c>
      <c r="H532" s="29" t="s">
        <v>164</v>
      </c>
      <c r="I532" s="44" t="s">
        <v>520</v>
      </c>
      <c r="J532" s="29">
        <v>2024</v>
      </c>
      <c r="K532" s="29">
        <v>2026</v>
      </c>
      <c r="L532" s="46" t="s">
        <v>516</v>
      </c>
      <c r="M532" s="46"/>
      <c r="N532" s="29"/>
      <c r="O532" s="16" t="s">
        <v>204</v>
      </c>
      <c r="P532" s="12" t="s">
        <v>57</v>
      </c>
      <c r="Q532" s="30" t="s">
        <v>864</v>
      </c>
      <c r="R532" s="15" t="s">
        <v>43</v>
      </c>
      <c r="S532" s="28" t="s">
        <v>2631</v>
      </c>
      <c r="T532" s="12">
        <v>0</v>
      </c>
      <c r="U532" s="12"/>
      <c r="V532" s="17"/>
      <c r="W532" s="38"/>
      <c r="X532" s="12"/>
      <c r="Y532" s="17"/>
      <c r="AA532" s="83"/>
    </row>
    <row r="533" spans="1:27" s="67" customFormat="1" ht="35">
      <c r="A533" s="13" t="s">
        <v>456</v>
      </c>
      <c r="B533" s="28" t="s">
        <v>482</v>
      </c>
      <c r="C533" s="12">
        <v>532</v>
      </c>
      <c r="D533" s="185" t="s">
        <v>2743</v>
      </c>
      <c r="E533" s="183"/>
      <c r="F533" s="174" t="s">
        <v>770</v>
      </c>
      <c r="G533" s="174" t="s">
        <v>2744</v>
      </c>
      <c r="H533" s="174" t="s">
        <v>389</v>
      </c>
      <c r="I533" s="186" t="s">
        <v>2745</v>
      </c>
      <c r="J533" s="174">
        <v>2025</v>
      </c>
      <c r="K533" s="174">
        <v>2028</v>
      </c>
      <c r="L533" s="183" t="s">
        <v>2746</v>
      </c>
      <c r="M533" s="183"/>
      <c r="N533" s="174" t="s">
        <v>3131</v>
      </c>
      <c r="O533" s="16" t="s">
        <v>204</v>
      </c>
      <c r="P533" s="11" t="s">
        <v>57</v>
      </c>
      <c r="Q533" s="184" t="s">
        <v>864</v>
      </c>
      <c r="R533" s="180" t="s">
        <v>43</v>
      </c>
      <c r="S533" s="11" t="s">
        <v>2631</v>
      </c>
      <c r="T533" s="11">
        <v>0</v>
      </c>
      <c r="U533" s="11"/>
      <c r="V533" s="181"/>
      <c r="W533" s="182"/>
      <c r="X533" s="11"/>
      <c r="Y533" s="181"/>
      <c r="Z533" s="109"/>
      <c r="AA533" s="66"/>
    </row>
    <row r="534" spans="1:27" s="67" customFormat="1" ht="70">
      <c r="A534" s="13" t="s">
        <v>456</v>
      </c>
      <c r="B534" s="28" t="s">
        <v>482</v>
      </c>
      <c r="C534" s="12">
        <v>533</v>
      </c>
      <c r="D534" s="185" t="s">
        <v>2747</v>
      </c>
      <c r="E534" s="183" t="s">
        <v>2748</v>
      </c>
      <c r="F534" s="174" t="s">
        <v>770</v>
      </c>
      <c r="G534" s="174" t="s">
        <v>962</v>
      </c>
      <c r="H534" s="174" t="s">
        <v>164</v>
      </c>
      <c r="I534" s="186" t="s">
        <v>2749</v>
      </c>
      <c r="J534" s="174">
        <v>2024</v>
      </c>
      <c r="K534" s="174">
        <v>2026</v>
      </c>
      <c r="L534" s="183" t="s">
        <v>2750</v>
      </c>
      <c r="M534" s="183" t="s">
        <v>2751</v>
      </c>
      <c r="N534" s="11"/>
      <c r="O534" s="16" t="s">
        <v>204</v>
      </c>
      <c r="P534" s="11" t="s">
        <v>57</v>
      </c>
      <c r="Q534" s="180" t="s">
        <v>864</v>
      </c>
      <c r="R534" s="180" t="s">
        <v>43</v>
      </c>
      <c r="S534" s="174" t="s">
        <v>2629</v>
      </c>
      <c r="T534" s="174">
        <v>2</v>
      </c>
      <c r="U534" s="183" t="s">
        <v>2736</v>
      </c>
      <c r="V534" s="183" t="s">
        <v>3033</v>
      </c>
      <c r="W534" s="185" t="s">
        <v>2752</v>
      </c>
      <c r="X534" s="183" t="s">
        <v>2738</v>
      </c>
      <c r="Y534" s="183" t="s">
        <v>2753</v>
      </c>
      <c r="Z534" s="57"/>
      <c r="AA534" s="83"/>
    </row>
    <row r="535" spans="1:27" s="67" customFormat="1" ht="105">
      <c r="A535" s="13" t="s">
        <v>456</v>
      </c>
      <c r="B535" s="13" t="s">
        <v>457</v>
      </c>
      <c r="C535" s="12">
        <v>534</v>
      </c>
      <c r="D535" s="38" t="s">
        <v>488</v>
      </c>
      <c r="E535" s="15" t="s">
        <v>1288</v>
      </c>
      <c r="F535" s="12" t="s">
        <v>770</v>
      </c>
      <c r="G535" s="16" t="s">
        <v>981</v>
      </c>
      <c r="H535" s="28" t="s">
        <v>1132</v>
      </c>
      <c r="I535" s="47" t="s">
        <v>489</v>
      </c>
      <c r="J535" s="29">
        <v>2019</v>
      </c>
      <c r="K535" s="29">
        <v>2020</v>
      </c>
      <c r="L535" s="131" t="s">
        <v>490</v>
      </c>
      <c r="M535" s="46" t="s">
        <v>3072</v>
      </c>
      <c r="N535" s="29"/>
      <c r="O535" s="15" t="s">
        <v>604</v>
      </c>
      <c r="P535" s="12" t="s">
        <v>57</v>
      </c>
      <c r="Q535" s="30" t="s">
        <v>864</v>
      </c>
      <c r="R535" s="15" t="s">
        <v>43</v>
      </c>
      <c r="S535" s="28" t="s">
        <v>2629</v>
      </c>
      <c r="T535" s="12">
        <v>1</v>
      </c>
      <c r="U535" s="12" t="s">
        <v>2964</v>
      </c>
      <c r="V535" s="17" t="s">
        <v>1294</v>
      </c>
      <c r="W535" s="38" t="s">
        <v>491</v>
      </c>
      <c r="X535" s="12" t="s">
        <v>2970</v>
      </c>
      <c r="Y535" s="17" t="s">
        <v>492</v>
      </c>
      <c r="Z535" s="83"/>
      <c r="AA535" s="83"/>
    </row>
    <row r="536" spans="1:27" s="67" customFormat="1" ht="35">
      <c r="A536" s="13" t="s">
        <v>456</v>
      </c>
      <c r="B536" s="28" t="s">
        <v>482</v>
      </c>
      <c r="C536" s="12">
        <v>535</v>
      </c>
      <c r="D536" s="33" t="s">
        <v>2456</v>
      </c>
      <c r="E536" s="16" t="s">
        <v>2457</v>
      </c>
      <c r="F536" s="13" t="s">
        <v>770</v>
      </c>
      <c r="G536" s="16" t="s">
        <v>1885</v>
      </c>
      <c r="H536" s="28" t="s">
        <v>164</v>
      </c>
      <c r="I536" s="47" t="s">
        <v>2458</v>
      </c>
      <c r="J536" s="28">
        <v>2023</v>
      </c>
      <c r="K536" s="48">
        <v>2026</v>
      </c>
      <c r="L536" s="48" t="s">
        <v>2573</v>
      </c>
      <c r="M536" s="48"/>
      <c r="N536" s="28"/>
      <c r="O536" s="16" t="s">
        <v>204</v>
      </c>
      <c r="P536" s="16" t="s">
        <v>57</v>
      </c>
      <c r="Q536" s="30" t="s">
        <v>864</v>
      </c>
      <c r="R536" s="15" t="s">
        <v>43</v>
      </c>
      <c r="S536" s="28" t="s">
        <v>2634</v>
      </c>
      <c r="T536" s="12">
        <v>15</v>
      </c>
      <c r="U536" s="12"/>
      <c r="V536" s="28" t="s">
        <v>2632</v>
      </c>
      <c r="W536" s="108" t="s">
        <v>2632</v>
      </c>
      <c r="X536" s="29" t="s">
        <v>2632</v>
      </c>
      <c r="Y536" s="28" t="s">
        <v>2628</v>
      </c>
      <c r="AA536" s="123"/>
    </row>
    <row r="537" spans="1:27" s="67" customFormat="1" ht="35">
      <c r="A537" s="13" t="s">
        <v>456</v>
      </c>
      <c r="B537" s="28" t="s">
        <v>482</v>
      </c>
      <c r="C537" s="12">
        <v>536</v>
      </c>
      <c r="D537" s="33" t="s">
        <v>2459</v>
      </c>
      <c r="E537" s="16" t="s">
        <v>2460</v>
      </c>
      <c r="F537" s="13" t="s">
        <v>770</v>
      </c>
      <c r="G537" s="16" t="s">
        <v>1885</v>
      </c>
      <c r="H537" s="28" t="s">
        <v>164</v>
      </c>
      <c r="I537" s="47" t="s">
        <v>2461</v>
      </c>
      <c r="J537" s="28">
        <v>2023</v>
      </c>
      <c r="K537" s="48">
        <v>2026</v>
      </c>
      <c r="L537" s="48" t="s">
        <v>2573</v>
      </c>
      <c r="M537" s="48"/>
      <c r="N537" s="48" t="s">
        <v>2572</v>
      </c>
      <c r="O537" s="16" t="s">
        <v>204</v>
      </c>
      <c r="P537" s="16" t="s">
        <v>57</v>
      </c>
      <c r="Q537" s="30" t="s">
        <v>864</v>
      </c>
      <c r="R537" s="15" t="s">
        <v>43</v>
      </c>
      <c r="S537" s="28" t="s">
        <v>2631</v>
      </c>
      <c r="T537" s="12">
        <v>0</v>
      </c>
      <c r="U537" s="12"/>
      <c r="V537" s="17"/>
      <c r="W537" s="38"/>
      <c r="X537" s="12"/>
      <c r="Y537" s="17"/>
      <c r="AA537" s="66"/>
    </row>
    <row r="538" spans="1:27" s="67" customFormat="1" ht="105">
      <c r="A538" s="13" t="s">
        <v>456</v>
      </c>
      <c r="B538" s="13" t="s">
        <v>457</v>
      </c>
      <c r="C538" s="12">
        <v>537</v>
      </c>
      <c r="D538" s="38" t="s">
        <v>484</v>
      </c>
      <c r="E538" s="15" t="s">
        <v>1287</v>
      </c>
      <c r="F538" s="12" t="s">
        <v>93</v>
      </c>
      <c r="G538" s="16" t="s">
        <v>483</v>
      </c>
      <c r="H538" s="28" t="s">
        <v>1132</v>
      </c>
      <c r="I538" s="47" t="s">
        <v>485</v>
      </c>
      <c r="J538" s="29">
        <v>2014</v>
      </c>
      <c r="K538" s="29">
        <v>2023</v>
      </c>
      <c r="L538" s="131" t="s">
        <v>2574</v>
      </c>
      <c r="M538" s="46"/>
      <c r="N538" s="29"/>
      <c r="O538" s="15" t="s">
        <v>604</v>
      </c>
      <c r="P538" s="12" t="s">
        <v>57</v>
      </c>
      <c r="Q538" s="30" t="s">
        <v>864</v>
      </c>
      <c r="R538" s="15" t="s">
        <v>44</v>
      </c>
      <c r="S538" s="28" t="s">
        <v>2629</v>
      </c>
      <c r="T538" s="12">
        <v>1</v>
      </c>
      <c r="U538" s="12" t="s">
        <v>2964</v>
      </c>
      <c r="V538" s="30" t="s">
        <v>1293</v>
      </c>
      <c r="W538" s="38" t="s">
        <v>486</v>
      </c>
      <c r="X538" s="12" t="s">
        <v>2970</v>
      </c>
      <c r="Y538" s="17" t="s">
        <v>487</v>
      </c>
      <c r="Z538" s="83"/>
      <c r="AA538" s="123"/>
    </row>
    <row r="539" spans="1:27" s="67" customFormat="1" ht="35">
      <c r="A539" s="13" t="s">
        <v>456</v>
      </c>
      <c r="B539" s="28" t="s">
        <v>482</v>
      </c>
      <c r="C539" s="12">
        <v>538</v>
      </c>
      <c r="D539" s="33" t="s">
        <v>2468</v>
      </c>
      <c r="E539" s="16" t="s">
        <v>1888</v>
      </c>
      <c r="F539" s="13" t="s">
        <v>770</v>
      </c>
      <c r="G539" s="16" t="s">
        <v>1886</v>
      </c>
      <c r="H539" s="28" t="s">
        <v>164</v>
      </c>
      <c r="I539" s="47" t="s">
        <v>2469</v>
      </c>
      <c r="J539" s="28">
        <v>2023</v>
      </c>
      <c r="K539" s="48">
        <v>2025</v>
      </c>
      <c r="L539" s="48" t="s">
        <v>2444</v>
      </c>
      <c r="M539" s="48"/>
      <c r="N539" s="48" t="s">
        <v>2571</v>
      </c>
      <c r="O539" s="15" t="s">
        <v>604</v>
      </c>
      <c r="P539" s="16" t="s">
        <v>57</v>
      </c>
      <c r="Q539" s="30" t="s">
        <v>864</v>
      </c>
      <c r="R539" s="15" t="s">
        <v>43</v>
      </c>
      <c r="S539" s="28" t="s">
        <v>2631</v>
      </c>
      <c r="T539" s="12">
        <v>0</v>
      </c>
      <c r="U539" s="12"/>
      <c r="V539" s="17"/>
      <c r="W539" s="38"/>
      <c r="X539" s="12"/>
      <c r="Y539" s="17"/>
      <c r="AA539" s="66" t="s">
        <v>2793</v>
      </c>
    </row>
    <row r="540" spans="1:27" s="67" customFormat="1" ht="35">
      <c r="A540" s="13" t="s">
        <v>456</v>
      </c>
      <c r="B540" s="28" t="s">
        <v>482</v>
      </c>
      <c r="C540" s="12">
        <v>539</v>
      </c>
      <c r="D540" s="33" t="s">
        <v>2439</v>
      </c>
      <c r="E540" s="16" t="s">
        <v>2440</v>
      </c>
      <c r="F540" s="13" t="s">
        <v>770</v>
      </c>
      <c r="G540" s="16" t="s">
        <v>2441</v>
      </c>
      <c r="H540" s="13" t="s">
        <v>164</v>
      </c>
      <c r="I540" s="33" t="s">
        <v>2442</v>
      </c>
      <c r="J540" s="13">
        <v>2021</v>
      </c>
      <c r="K540" s="16">
        <v>2024</v>
      </c>
      <c r="L540" s="16" t="s">
        <v>2443</v>
      </c>
      <c r="M540" s="16" t="s">
        <v>2100</v>
      </c>
      <c r="N540" s="30" t="s">
        <v>2570</v>
      </c>
      <c r="O540" s="16" t="s">
        <v>204</v>
      </c>
      <c r="P540" s="16" t="s">
        <v>57</v>
      </c>
      <c r="Q540" s="30" t="s">
        <v>864</v>
      </c>
      <c r="R540" s="15" t="s">
        <v>43</v>
      </c>
      <c r="S540" s="28" t="s">
        <v>2634</v>
      </c>
      <c r="T540" s="12">
        <v>1</v>
      </c>
      <c r="U540" s="12"/>
      <c r="V540" s="28" t="s">
        <v>2632</v>
      </c>
      <c r="W540" s="108" t="s">
        <v>2632</v>
      </c>
      <c r="X540" s="29" t="s">
        <v>2632</v>
      </c>
      <c r="Y540" s="28" t="s">
        <v>2628</v>
      </c>
      <c r="AA540" s="66"/>
    </row>
    <row r="541" spans="1:27" s="67" customFormat="1" ht="157.5">
      <c r="A541" s="13" t="s">
        <v>456</v>
      </c>
      <c r="B541" s="13" t="s">
        <v>457</v>
      </c>
      <c r="C541" s="12">
        <v>540</v>
      </c>
      <c r="D541" s="33" t="s">
        <v>1534</v>
      </c>
      <c r="E541" s="15" t="s">
        <v>1535</v>
      </c>
      <c r="F541" s="12" t="s">
        <v>770</v>
      </c>
      <c r="G541" s="16" t="s">
        <v>974</v>
      </c>
      <c r="H541" s="12" t="s">
        <v>1132</v>
      </c>
      <c r="I541" s="33" t="s">
        <v>460</v>
      </c>
      <c r="J541" s="12">
        <v>2009</v>
      </c>
      <c r="K541" s="16">
        <v>2012</v>
      </c>
      <c r="L541" s="16" t="s">
        <v>461</v>
      </c>
      <c r="M541" s="15"/>
      <c r="N541" s="15"/>
      <c r="O541" s="16" t="s">
        <v>204</v>
      </c>
      <c r="P541" s="16" t="s">
        <v>10</v>
      </c>
      <c r="Q541" s="30" t="s">
        <v>864</v>
      </c>
      <c r="R541" s="15" t="s">
        <v>43</v>
      </c>
      <c r="S541" s="28" t="s">
        <v>2629</v>
      </c>
      <c r="T541" s="12">
        <v>3</v>
      </c>
      <c r="U541" s="15" t="s">
        <v>2978</v>
      </c>
      <c r="V541" s="30" t="s">
        <v>3034</v>
      </c>
      <c r="W541" s="38" t="s">
        <v>2575</v>
      </c>
      <c r="X541" s="12" t="s">
        <v>2576</v>
      </c>
      <c r="Y541" s="17" t="s">
        <v>2577</v>
      </c>
      <c r="AA541" s="123" t="s">
        <v>2794</v>
      </c>
    </row>
    <row r="542" spans="1:27" s="67" customFormat="1" ht="122.5">
      <c r="A542" s="13" t="s">
        <v>456</v>
      </c>
      <c r="B542" s="13" t="s">
        <v>457</v>
      </c>
      <c r="C542" s="12">
        <v>541</v>
      </c>
      <c r="D542" s="33" t="s">
        <v>1536</v>
      </c>
      <c r="E542" s="15" t="s">
        <v>1537</v>
      </c>
      <c r="F542" s="12" t="s">
        <v>770</v>
      </c>
      <c r="G542" s="16" t="s">
        <v>974</v>
      </c>
      <c r="H542" s="12" t="s">
        <v>1132</v>
      </c>
      <c r="I542" s="33" t="s">
        <v>462</v>
      </c>
      <c r="J542" s="12">
        <v>2012</v>
      </c>
      <c r="K542" s="16">
        <v>2016</v>
      </c>
      <c r="L542" s="16" t="s">
        <v>463</v>
      </c>
      <c r="M542" s="15"/>
      <c r="N542" s="12"/>
      <c r="O542" s="16" t="s">
        <v>204</v>
      </c>
      <c r="P542" s="16" t="s">
        <v>10</v>
      </c>
      <c r="Q542" s="30" t="s">
        <v>864</v>
      </c>
      <c r="R542" s="15" t="s">
        <v>43</v>
      </c>
      <c r="S542" s="28" t="s">
        <v>2629</v>
      </c>
      <c r="T542" s="12">
        <v>1</v>
      </c>
      <c r="U542" s="12" t="s">
        <v>2964</v>
      </c>
      <c r="V542" s="17" t="s">
        <v>3035</v>
      </c>
      <c r="W542" s="38" t="s">
        <v>1624</v>
      </c>
      <c r="X542" s="12" t="s">
        <v>1595</v>
      </c>
      <c r="Y542" s="17" t="s">
        <v>1625</v>
      </c>
      <c r="AA542" s="123"/>
    </row>
    <row r="543" spans="1:27" s="67" customFormat="1" ht="35">
      <c r="A543" s="13" t="s">
        <v>456</v>
      </c>
      <c r="B543" s="28" t="s">
        <v>482</v>
      </c>
      <c r="C543" s="12">
        <v>542</v>
      </c>
      <c r="D543" s="33" t="s">
        <v>2465</v>
      </c>
      <c r="E543" s="16" t="s">
        <v>2445</v>
      </c>
      <c r="F543" s="13" t="s">
        <v>770</v>
      </c>
      <c r="G543" s="16" t="s">
        <v>1886</v>
      </c>
      <c r="H543" s="13" t="s">
        <v>164</v>
      </c>
      <c r="I543" s="33" t="s">
        <v>2466</v>
      </c>
      <c r="J543" s="13">
        <v>2023</v>
      </c>
      <c r="K543" s="16">
        <v>2025</v>
      </c>
      <c r="L543" s="16" t="s">
        <v>2467</v>
      </c>
      <c r="M543" s="16"/>
      <c r="N543" s="13"/>
      <c r="O543" s="15" t="s">
        <v>604</v>
      </c>
      <c r="P543" s="16" t="s">
        <v>57</v>
      </c>
      <c r="Q543" s="30" t="s">
        <v>864</v>
      </c>
      <c r="R543" s="15" t="s">
        <v>43</v>
      </c>
      <c r="S543" s="28" t="s">
        <v>2634</v>
      </c>
      <c r="T543" s="12">
        <v>1</v>
      </c>
      <c r="U543" s="12"/>
      <c r="V543" s="28" t="s">
        <v>2632</v>
      </c>
      <c r="W543" s="108" t="s">
        <v>2632</v>
      </c>
      <c r="X543" s="29" t="s">
        <v>2632</v>
      </c>
      <c r="Y543" s="28" t="s">
        <v>2628</v>
      </c>
      <c r="AA543" s="170"/>
    </row>
    <row r="544" spans="1:27" s="67" customFormat="1" ht="87.5">
      <c r="A544" s="13" t="s">
        <v>456</v>
      </c>
      <c r="B544" s="13" t="s">
        <v>482</v>
      </c>
      <c r="C544" s="12">
        <v>543</v>
      </c>
      <c r="D544" s="134"/>
      <c r="E544" s="353" t="s">
        <v>3196</v>
      </c>
      <c r="F544" s="12" t="s">
        <v>58</v>
      </c>
      <c r="G544" s="354" t="s">
        <v>2712</v>
      </c>
      <c r="H544" s="12" t="s">
        <v>389</v>
      </c>
      <c r="I544" s="185" t="s">
        <v>2742</v>
      </c>
      <c r="J544" s="29">
        <v>2026</v>
      </c>
      <c r="K544" s="29">
        <v>2029</v>
      </c>
      <c r="L544" s="46" t="s">
        <v>1881</v>
      </c>
      <c r="M544" s="111"/>
      <c r="N544" s="355" t="s">
        <v>3197</v>
      </c>
      <c r="O544" s="16" t="s">
        <v>204</v>
      </c>
      <c r="P544" s="12" t="s">
        <v>57</v>
      </c>
      <c r="Q544" s="30" t="s">
        <v>864</v>
      </c>
      <c r="R544" s="15" t="s">
        <v>43</v>
      </c>
      <c r="S544" s="28" t="s">
        <v>2631</v>
      </c>
      <c r="T544" s="12">
        <v>0</v>
      </c>
      <c r="U544" s="12"/>
      <c r="V544" s="17"/>
      <c r="W544" s="38"/>
      <c r="X544" s="12"/>
      <c r="Y544" s="17"/>
      <c r="AA544" s="171"/>
    </row>
    <row r="545" spans="1:27" s="67" customFormat="1" ht="87.5">
      <c r="A545" s="13" t="s">
        <v>456</v>
      </c>
      <c r="B545" s="13" t="s">
        <v>482</v>
      </c>
      <c r="C545" s="12">
        <v>544</v>
      </c>
      <c r="D545" s="134"/>
      <c r="E545" s="15" t="s">
        <v>1882</v>
      </c>
      <c r="F545" s="12" t="s">
        <v>770</v>
      </c>
      <c r="G545" s="12" t="s">
        <v>1883</v>
      </c>
      <c r="H545" s="12" t="s">
        <v>389</v>
      </c>
      <c r="I545" s="185" t="s">
        <v>2742</v>
      </c>
      <c r="J545" s="28">
        <v>2026</v>
      </c>
      <c r="K545" s="28">
        <v>2029</v>
      </c>
      <c r="L545" s="48" t="s">
        <v>1881</v>
      </c>
      <c r="M545" s="111"/>
      <c r="N545" s="12"/>
      <c r="O545" s="16" t="s">
        <v>204</v>
      </c>
      <c r="P545" s="12" t="s">
        <v>57</v>
      </c>
      <c r="Q545" s="30" t="s">
        <v>864</v>
      </c>
      <c r="R545" s="15" t="s">
        <v>43</v>
      </c>
      <c r="S545" s="28" t="s">
        <v>2631</v>
      </c>
      <c r="T545" s="12">
        <v>0</v>
      </c>
      <c r="U545" s="12"/>
      <c r="V545" s="17"/>
      <c r="W545" s="38"/>
      <c r="X545" s="12"/>
      <c r="Y545" s="17"/>
      <c r="AA545" s="171"/>
    </row>
    <row r="546" spans="1:27" s="67" customFormat="1" ht="157.5">
      <c r="A546" s="13" t="s">
        <v>456</v>
      </c>
      <c r="B546" s="13" t="s">
        <v>457</v>
      </c>
      <c r="C546" s="12">
        <v>545</v>
      </c>
      <c r="D546" s="47" t="s">
        <v>1531</v>
      </c>
      <c r="E546" s="46" t="s">
        <v>1532</v>
      </c>
      <c r="F546" s="29" t="s">
        <v>58</v>
      </c>
      <c r="G546" s="48" t="s">
        <v>771</v>
      </c>
      <c r="H546" s="29" t="s">
        <v>1132</v>
      </c>
      <c r="I546" s="47" t="s">
        <v>458</v>
      </c>
      <c r="J546" s="29">
        <v>2010</v>
      </c>
      <c r="K546" s="48">
        <v>2013</v>
      </c>
      <c r="L546" s="16" t="s">
        <v>459</v>
      </c>
      <c r="M546" s="15"/>
      <c r="N546" s="12"/>
      <c r="O546" s="16" t="s">
        <v>204</v>
      </c>
      <c r="P546" s="16" t="s">
        <v>10</v>
      </c>
      <c r="Q546" s="30" t="s">
        <v>864</v>
      </c>
      <c r="R546" s="15" t="s">
        <v>43</v>
      </c>
      <c r="S546" s="28" t="s">
        <v>2629</v>
      </c>
      <c r="T546" s="12">
        <v>33</v>
      </c>
      <c r="U546" s="15" t="s">
        <v>2983</v>
      </c>
      <c r="V546" s="30" t="s">
        <v>3036</v>
      </c>
      <c r="W546" s="38" t="s">
        <v>2578</v>
      </c>
      <c r="X546" s="15" t="s">
        <v>2579</v>
      </c>
      <c r="Y546" s="30" t="s">
        <v>2580</v>
      </c>
      <c r="AA546" s="171"/>
    </row>
    <row r="547" spans="1:27" s="57" customFormat="1" ht="157.5">
      <c r="A547" s="13" t="s">
        <v>456</v>
      </c>
      <c r="B547" s="13" t="s">
        <v>457</v>
      </c>
      <c r="C547" s="12">
        <v>546</v>
      </c>
      <c r="D547" s="47" t="s">
        <v>1531</v>
      </c>
      <c r="E547" s="46" t="s">
        <v>1533</v>
      </c>
      <c r="F547" s="29" t="s">
        <v>770</v>
      </c>
      <c r="G547" s="48" t="s">
        <v>2611</v>
      </c>
      <c r="H547" s="29" t="s">
        <v>1132</v>
      </c>
      <c r="I547" s="47" t="s">
        <v>458</v>
      </c>
      <c r="J547" s="29">
        <v>2010</v>
      </c>
      <c r="K547" s="48">
        <v>2013</v>
      </c>
      <c r="L547" s="16" t="s">
        <v>459</v>
      </c>
      <c r="M547" s="15"/>
      <c r="N547" s="12"/>
      <c r="O547" s="16" t="s">
        <v>204</v>
      </c>
      <c r="P547" s="16" t="s">
        <v>10</v>
      </c>
      <c r="Q547" s="30" t="s">
        <v>864</v>
      </c>
      <c r="R547" s="15" t="s">
        <v>43</v>
      </c>
      <c r="S547" s="28" t="s">
        <v>2629</v>
      </c>
      <c r="T547" s="12">
        <v>33</v>
      </c>
      <c r="U547" s="15" t="s">
        <v>2983</v>
      </c>
      <c r="V547" s="30" t="s">
        <v>3036</v>
      </c>
      <c r="W547" s="38" t="s">
        <v>2578</v>
      </c>
      <c r="X547" s="15" t="s">
        <v>2579</v>
      </c>
      <c r="Y547" s="30" t="s">
        <v>2580</v>
      </c>
      <c r="Z547" s="67"/>
      <c r="AA547" s="171"/>
    </row>
    <row r="548" spans="1:27" s="59" customFormat="1" ht="70">
      <c r="A548" s="13" t="s">
        <v>456</v>
      </c>
      <c r="B548" s="13" t="s">
        <v>457</v>
      </c>
      <c r="C548" s="12">
        <v>547</v>
      </c>
      <c r="D548" s="108" t="s">
        <v>972</v>
      </c>
      <c r="E548" s="46" t="s">
        <v>973</v>
      </c>
      <c r="F548" s="29" t="s">
        <v>770</v>
      </c>
      <c r="G548" s="29" t="s">
        <v>974</v>
      </c>
      <c r="H548" s="29" t="s">
        <v>164</v>
      </c>
      <c r="I548" s="48" t="s">
        <v>1884</v>
      </c>
      <c r="J548" s="29">
        <v>2019</v>
      </c>
      <c r="K548" s="29">
        <v>2025</v>
      </c>
      <c r="L548" s="16" t="s">
        <v>512</v>
      </c>
      <c r="M548" s="15"/>
      <c r="N548" s="12"/>
      <c r="O548" s="15" t="s">
        <v>765</v>
      </c>
      <c r="P548" s="12" t="s">
        <v>57</v>
      </c>
      <c r="Q548" s="30" t="s">
        <v>864</v>
      </c>
      <c r="R548" s="15" t="s">
        <v>43</v>
      </c>
      <c r="S548" s="174" t="s">
        <v>2629</v>
      </c>
      <c r="T548" s="174">
        <v>2</v>
      </c>
      <c r="U548" s="174" t="s">
        <v>2740</v>
      </c>
      <c r="V548" s="174" t="s">
        <v>3037</v>
      </c>
      <c r="W548" s="185" t="s">
        <v>2741</v>
      </c>
      <c r="X548" s="183" t="s">
        <v>895</v>
      </c>
      <c r="Y548" s="183" t="s">
        <v>2976</v>
      </c>
      <c r="Z548" s="78"/>
      <c r="AA548" s="171"/>
    </row>
    <row r="549" spans="1:27" s="57" customFormat="1" ht="87.5">
      <c r="A549" s="13" t="s">
        <v>456</v>
      </c>
      <c r="B549" s="13" t="s">
        <v>482</v>
      </c>
      <c r="C549" s="12">
        <v>548</v>
      </c>
      <c r="D549" s="47" t="s">
        <v>2436</v>
      </c>
      <c r="E549" s="48"/>
      <c r="F549" s="28" t="s">
        <v>770</v>
      </c>
      <c r="G549" s="48" t="s">
        <v>974</v>
      </c>
      <c r="H549" s="28" t="s">
        <v>164</v>
      </c>
      <c r="I549" s="47" t="s">
        <v>2437</v>
      </c>
      <c r="J549" s="28">
        <v>2026</v>
      </c>
      <c r="K549" s="48">
        <v>2028</v>
      </c>
      <c r="L549" s="16" t="s">
        <v>2438</v>
      </c>
      <c r="M549" s="16"/>
      <c r="N549" s="13"/>
      <c r="O549" s="16" t="s">
        <v>204</v>
      </c>
      <c r="P549" s="16" t="s">
        <v>57</v>
      </c>
      <c r="Q549" s="30" t="s">
        <v>864</v>
      </c>
      <c r="R549" s="15" t="s">
        <v>43</v>
      </c>
      <c r="S549" s="28" t="s">
        <v>2631</v>
      </c>
      <c r="T549" s="12">
        <v>0</v>
      </c>
      <c r="U549" s="12"/>
      <c r="V549" s="17"/>
      <c r="W549" s="38"/>
      <c r="X549" s="12"/>
      <c r="Y549" s="17"/>
      <c r="Z549" s="59"/>
      <c r="AA549" s="165" t="s">
        <v>2653</v>
      </c>
    </row>
    <row r="550" spans="1:27" s="57" customFormat="1" ht="122.5">
      <c r="A550" s="13" t="s">
        <v>456</v>
      </c>
      <c r="B550" s="13" t="s">
        <v>457</v>
      </c>
      <c r="C550" s="12">
        <v>549</v>
      </c>
      <c r="D550" s="47" t="s">
        <v>975</v>
      </c>
      <c r="E550" s="48"/>
      <c r="F550" s="28" t="s">
        <v>58</v>
      </c>
      <c r="G550" s="349" t="s">
        <v>3198</v>
      </c>
      <c r="H550" s="28" t="s">
        <v>164</v>
      </c>
      <c r="I550" s="44" t="s">
        <v>513</v>
      </c>
      <c r="J550" s="28">
        <v>2023</v>
      </c>
      <c r="K550" s="28">
        <v>2026</v>
      </c>
      <c r="L550" s="16" t="s">
        <v>514</v>
      </c>
      <c r="M550" s="180"/>
      <c r="N550" s="352" t="s">
        <v>3193</v>
      </c>
      <c r="O550" s="16" t="s">
        <v>204</v>
      </c>
      <c r="P550" s="11" t="s">
        <v>57</v>
      </c>
      <c r="Q550" s="11" t="s">
        <v>864</v>
      </c>
      <c r="R550" s="180" t="s">
        <v>43</v>
      </c>
      <c r="S550" s="157" t="s">
        <v>2631</v>
      </c>
      <c r="T550" s="12">
        <v>0</v>
      </c>
      <c r="U550" s="12"/>
      <c r="V550" s="17"/>
      <c r="W550" s="38"/>
      <c r="X550" s="12"/>
      <c r="Y550" s="17"/>
      <c r="Z550" s="27"/>
      <c r="AA550" s="165" t="s">
        <v>2653</v>
      </c>
    </row>
    <row r="551" spans="1:27" s="67" customFormat="1" ht="192.5">
      <c r="A551" s="13" t="s">
        <v>456</v>
      </c>
      <c r="B551" s="28" t="s">
        <v>482</v>
      </c>
      <c r="C551" s="12">
        <v>550</v>
      </c>
      <c r="D551" s="108" t="s">
        <v>1894</v>
      </c>
      <c r="E551" s="46" t="s">
        <v>2582</v>
      </c>
      <c r="F551" s="29" t="s">
        <v>770</v>
      </c>
      <c r="G551" s="29" t="s">
        <v>1885</v>
      </c>
      <c r="H551" s="29" t="s">
        <v>164</v>
      </c>
      <c r="I551" s="44" t="s">
        <v>1895</v>
      </c>
      <c r="J551" s="29">
        <v>2023</v>
      </c>
      <c r="K551" s="29">
        <v>2026</v>
      </c>
      <c r="L551" s="46" t="s">
        <v>1893</v>
      </c>
      <c r="M551" s="183" t="s">
        <v>2731</v>
      </c>
      <c r="N551" s="11"/>
      <c r="O551" s="16" t="s">
        <v>204</v>
      </c>
      <c r="P551" s="11" t="s">
        <v>57</v>
      </c>
      <c r="Q551" s="184" t="s">
        <v>864</v>
      </c>
      <c r="R551" s="180" t="s">
        <v>43</v>
      </c>
      <c r="S551" s="174" t="s">
        <v>2629</v>
      </c>
      <c r="T551" s="174">
        <v>5</v>
      </c>
      <c r="U551" s="183" t="s">
        <v>2992</v>
      </c>
      <c r="V551" s="183" t="s">
        <v>3038</v>
      </c>
      <c r="W551" s="185" t="s">
        <v>2732</v>
      </c>
      <c r="X551" s="183" t="s">
        <v>2733</v>
      </c>
      <c r="Y551" s="183" t="s">
        <v>2734</v>
      </c>
      <c r="Z551" s="109"/>
      <c r="AA551" s="165" t="s">
        <v>2653</v>
      </c>
    </row>
    <row r="552" spans="1:27" s="67" customFormat="1" ht="87.5">
      <c r="A552" s="13" t="s">
        <v>456</v>
      </c>
      <c r="B552" s="28" t="s">
        <v>482</v>
      </c>
      <c r="C552" s="12">
        <v>551</v>
      </c>
      <c r="D552" s="47" t="s">
        <v>1891</v>
      </c>
      <c r="E552" s="46" t="s">
        <v>2581</v>
      </c>
      <c r="F552" s="28" t="s">
        <v>770</v>
      </c>
      <c r="G552" s="28" t="s">
        <v>1885</v>
      </c>
      <c r="H552" s="28" t="s">
        <v>164</v>
      </c>
      <c r="I552" s="44" t="s">
        <v>1892</v>
      </c>
      <c r="J552" s="28">
        <v>2023</v>
      </c>
      <c r="K552" s="28">
        <v>2026</v>
      </c>
      <c r="L552" s="48" t="s">
        <v>1893</v>
      </c>
      <c r="M552" s="180"/>
      <c r="N552" s="11"/>
      <c r="O552" s="16" t="s">
        <v>204</v>
      </c>
      <c r="P552" s="11" t="s">
        <v>57</v>
      </c>
      <c r="Q552" s="184" t="s">
        <v>864</v>
      </c>
      <c r="R552" s="180" t="s">
        <v>43</v>
      </c>
      <c r="S552" s="174" t="s">
        <v>2735</v>
      </c>
      <c r="T552" s="174">
        <v>2</v>
      </c>
      <c r="U552" s="183" t="s">
        <v>2736</v>
      </c>
      <c r="V552" s="183" t="s">
        <v>3039</v>
      </c>
      <c r="W552" s="185" t="s">
        <v>2737</v>
      </c>
      <c r="X552" s="183" t="s">
        <v>2738</v>
      </c>
      <c r="Y552" s="183" t="s">
        <v>2739</v>
      </c>
      <c r="Z552" s="57"/>
      <c r="AA552" s="165" t="s">
        <v>2653</v>
      </c>
    </row>
    <row r="553" spans="1:27" s="67" customFormat="1" ht="70">
      <c r="A553" s="13" t="s">
        <v>456</v>
      </c>
      <c r="B553" s="28" t="s">
        <v>482</v>
      </c>
      <c r="C553" s="12">
        <v>552</v>
      </c>
      <c r="D553" s="47" t="s">
        <v>2450</v>
      </c>
      <c r="E553" s="48" t="s">
        <v>2451</v>
      </c>
      <c r="F553" s="28" t="s">
        <v>770</v>
      </c>
      <c r="G553" s="48" t="s">
        <v>1883</v>
      </c>
      <c r="H553" s="28" t="s">
        <v>164</v>
      </c>
      <c r="I553" s="47" t="s">
        <v>2452</v>
      </c>
      <c r="J553" s="28">
        <v>2023</v>
      </c>
      <c r="K553" s="48">
        <v>2026</v>
      </c>
      <c r="L553" s="16" t="s">
        <v>2453</v>
      </c>
      <c r="M553" s="16"/>
      <c r="N553" s="13"/>
      <c r="O553" s="16" t="s">
        <v>204</v>
      </c>
      <c r="P553" s="16" t="s">
        <v>57</v>
      </c>
      <c r="Q553" s="30" t="s">
        <v>864</v>
      </c>
      <c r="R553" s="15" t="s">
        <v>43</v>
      </c>
      <c r="S553" s="28" t="s">
        <v>2634</v>
      </c>
      <c r="T553" s="12">
        <v>1</v>
      </c>
      <c r="U553" s="12"/>
      <c r="V553" s="28" t="s">
        <v>2632</v>
      </c>
      <c r="W553" s="108" t="s">
        <v>2632</v>
      </c>
      <c r="X553" s="29" t="s">
        <v>2632</v>
      </c>
      <c r="Y553" s="28" t="s">
        <v>2628</v>
      </c>
      <c r="AA553" s="165" t="s">
        <v>2653</v>
      </c>
    </row>
    <row r="554" spans="1:27" s="67" customFormat="1" ht="52.5">
      <c r="A554" s="13" t="s">
        <v>456</v>
      </c>
      <c r="B554" s="28" t="s">
        <v>482</v>
      </c>
      <c r="C554" s="12">
        <v>553</v>
      </c>
      <c r="D554" s="47" t="s">
        <v>1894</v>
      </c>
      <c r="E554" s="48" t="s">
        <v>2454</v>
      </c>
      <c r="F554" s="28" t="s">
        <v>770</v>
      </c>
      <c r="G554" s="48" t="s">
        <v>1885</v>
      </c>
      <c r="H554" s="28" t="s">
        <v>164</v>
      </c>
      <c r="I554" s="47" t="s">
        <v>2455</v>
      </c>
      <c r="J554" s="28">
        <v>2023</v>
      </c>
      <c r="K554" s="48">
        <v>2026</v>
      </c>
      <c r="L554" s="16" t="s">
        <v>2453</v>
      </c>
      <c r="M554" s="16"/>
      <c r="N554" s="13"/>
      <c r="O554" s="16" t="s">
        <v>204</v>
      </c>
      <c r="P554" s="16" t="s">
        <v>57</v>
      </c>
      <c r="Q554" s="30" t="s">
        <v>864</v>
      </c>
      <c r="R554" s="15" t="s">
        <v>43</v>
      </c>
      <c r="S554" s="28" t="s">
        <v>2634</v>
      </c>
      <c r="T554" s="12">
        <v>2</v>
      </c>
      <c r="U554" s="12"/>
      <c r="V554" s="28" t="s">
        <v>2632</v>
      </c>
      <c r="W554" s="108" t="s">
        <v>2632</v>
      </c>
      <c r="X554" s="29" t="s">
        <v>2632</v>
      </c>
      <c r="Y554" s="28" t="s">
        <v>2628</v>
      </c>
      <c r="AA554" s="165" t="s">
        <v>2653</v>
      </c>
    </row>
    <row r="555" spans="1:27" s="67" customFormat="1" ht="52.5">
      <c r="A555" s="13" t="s">
        <v>456</v>
      </c>
      <c r="B555" s="28" t="s">
        <v>482</v>
      </c>
      <c r="C555" s="12">
        <v>554</v>
      </c>
      <c r="D555" s="33" t="s">
        <v>2462</v>
      </c>
      <c r="E555" s="16" t="s">
        <v>2463</v>
      </c>
      <c r="F555" s="13" t="s">
        <v>770</v>
      </c>
      <c r="G555" s="16" t="s">
        <v>1886</v>
      </c>
      <c r="H555" s="13" t="s">
        <v>164</v>
      </c>
      <c r="I555" s="33" t="s">
        <v>2464</v>
      </c>
      <c r="J555" s="13">
        <v>2023</v>
      </c>
      <c r="K555" s="16">
        <v>2026</v>
      </c>
      <c r="L555" s="163" t="s">
        <v>2730</v>
      </c>
      <c r="M555" s="163" t="s">
        <v>3073</v>
      </c>
      <c r="N555" s="13"/>
      <c r="O555" s="16" t="s">
        <v>204</v>
      </c>
      <c r="P555" s="16" t="s">
        <v>57</v>
      </c>
      <c r="Q555" s="30" t="s">
        <v>864</v>
      </c>
      <c r="R555" s="15" t="s">
        <v>43</v>
      </c>
      <c r="S555" s="28" t="s">
        <v>2634</v>
      </c>
      <c r="T555" s="12">
        <v>2</v>
      </c>
      <c r="U555" s="12"/>
      <c r="V555" s="28" t="s">
        <v>2632</v>
      </c>
      <c r="W555" s="108" t="s">
        <v>2632</v>
      </c>
      <c r="X555" s="29" t="s">
        <v>2632</v>
      </c>
      <c r="Y555" s="28" t="s">
        <v>2628</v>
      </c>
      <c r="AA555" s="165" t="s">
        <v>2653</v>
      </c>
    </row>
    <row r="556" spans="1:27" s="67" customFormat="1" ht="35">
      <c r="A556" s="13" t="s">
        <v>456</v>
      </c>
      <c r="B556" s="28" t="s">
        <v>482</v>
      </c>
      <c r="C556" s="12">
        <v>555</v>
      </c>
      <c r="D556" s="33" t="s">
        <v>2446</v>
      </c>
      <c r="E556" s="16" t="s">
        <v>2447</v>
      </c>
      <c r="F556" s="13" t="s">
        <v>770</v>
      </c>
      <c r="G556" s="16" t="s">
        <v>1885</v>
      </c>
      <c r="H556" s="13" t="s">
        <v>164</v>
      </c>
      <c r="I556" s="33" t="s">
        <v>2448</v>
      </c>
      <c r="J556" s="13">
        <v>2023</v>
      </c>
      <c r="K556" s="16">
        <v>2026</v>
      </c>
      <c r="L556" s="16" t="s">
        <v>2449</v>
      </c>
      <c r="M556" s="16" t="s">
        <v>2100</v>
      </c>
      <c r="N556" s="13"/>
      <c r="O556" s="16" t="s">
        <v>204</v>
      </c>
      <c r="P556" s="16" t="s">
        <v>57</v>
      </c>
      <c r="Q556" s="30" t="s">
        <v>864</v>
      </c>
      <c r="R556" s="15" t="s">
        <v>43</v>
      </c>
      <c r="S556" s="28" t="s">
        <v>2634</v>
      </c>
      <c r="T556" s="29">
        <v>4</v>
      </c>
      <c r="U556" s="46"/>
      <c r="V556" s="28" t="s">
        <v>2632</v>
      </c>
      <c r="W556" s="108" t="s">
        <v>2632</v>
      </c>
      <c r="X556" s="29" t="s">
        <v>2632</v>
      </c>
      <c r="Y556" s="28" t="s">
        <v>2628</v>
      </c>
      <c r="AA556" s="165" t="s">
        <v>2653</v>
      </c>
    </row>
    <row r="557" spans="1:27" s="67" customFormat="1" ht="122.5">
      <c r="A557" s="13" t="s">
        <v>456</v>
      </c>
      <c r="B557" s="16" t="s">
        <v>469</v>
      </c>
      <c r="C557" s="12">
        <v>556</v>
      </c>
      <c r="D557" s="33" t="s">
        <v>1544</v>
      </c>
      <c r="E557" s="15" t="s">
        <v>1545</v>
      </c>
      <c r="F557" s="12" t="s">
        <v>403</v>
      </c>
      <c r="G557" s="16" t="s">
        <v>2619</v>
      </c>
      <c r="H557" s="12" t="s">
        <v>1132</v>
      </c>
      <c r="I557" s="33" t="s">
        <v>473</v>
      </c>
      <c r="J557" s="12">
        <v>2015</v>
      </c>
      <c r="K557" s="16">
        <v>2019</v>
      </c>
      <c r="L557" s="16" t="s">
        <v>474</v>
      </c>
      <c r="M557" s="55" t="s">
        <v>2271</v>
      </c>
      <c r="N557" s="16" t="s">
        <v>3143</v>
      </c>
      <c r="O557" s="15" t="s">
        <v>604</v>
      </c>
      <c r="P557" s="16" t="s">
        <v>62</v>
      </c>
      <c r="Q557" s="30" t="s">
        <v>996</v>
      </c>
      <c r="R557" s="15" t="s">
        <v>18</v>
      </c>
      <c r="S557" s="28" t="s">
        <v>2631</v>
      </c>
      <c r="T557" s="12">
        <v>0</v>
      </c>
      <c r="U557" s="12"/>
      <c r="V557" s="17"/>
      <c r="W557" s="38"/>
      <c r="X557" s="12"/>
      <c r="Y557" s="17"/>
      <c r="AA557" s="66"/>
    </row>
    <row r="558" spans="1:27" s="67" customFormat="1" ht="87.5">
      <c r="A558" s="13" t="s">
        <v>456</v>
      </c>
      <c r="B558" s="16" t="s">
        <v>469</v>
      </c>
      <c r="C558" s="12">
        <v>557</v>
      </c>
      <c r="D558" s="33" t="s">
        <v>1546</v>
      </c>
      <c r="E558" s="15" t="s">
        <v>1547</v>
      </c>
      <c r="F558" s="12" t="s">
        <v>403</v>
      </c>
      <c r="G558" s="16" t="s">
        <v>2619</v>
      </c>
      <c r="H558" s="12" t="s">
        <v>1132</v>
      </c>
      <c r="I558" s="33" t="s">
        <v>475</v>
      </c>
      <c r="J558" s="12">
        <v>2015</v>
      </c>
      <c r="K558" s="16">
        <v>2019</v>
      </c>
      <c r="L558" s="16" t="s">
        <v>474</v>
      </c>
      <c r="M558" s="55" t="s">
        <v>2271</v>
      </c>
      <c r="N558" s="16" t="s">
        <v>3143</v>
      </c>
      <c r="O558" s="15" t="s">
        <v>604</v>
      </c>
      <c r="P558" s="16" t="s">
        <v>62</v>
      </c>
      <c r="Q558" s="30" t="s">
        <v>996</v>
      </c>
      <c r="R558" s="15" t="s">
        <v>18</v>
      </c>
      <c r="S558" s="28" t="s">
        <v>2631</v>
      </c>
      <c r="T558" s="12">
        <v>0</v>
      </c>
      <c r="U558" s="12"/>
      <c r="V558" s="17"/>
      <c r="W558" s="38"/>
      <c r="X558" s="12"/>
      <c r="Y558" s="17"/>
      <c r="AA558" s="66"/>
    </row>
    <row r="559" spans="1:27" s="67" customFormat="1" ht="70">
      <c r="A559" s="13" t="s">
        <v>456</v>
      </c>
      <c r="B559" s="16" t="s">
        <v>469</v>
      </c>
      <c r="C559" s="12">
        <v>558</v>
      </c>
      <c r="D559" s="38" t="s">
        <v>994</v>
      </c>
      <c r="E559" s="15" t="s">
        <v>2470</v>
      </c>
      <c r="F559" s="12" t="s">
        <v>403</v>
      </c>
      <c r="G559" s="12" t="s">
        <v>995</v>
      </c>
      <c r="H559" s="12" t="s">
        <v>1132</v>
      </c>
      <c r="I559" s="14" t="s">
        <v>529</v>
      </c>
      <c r="J559" s="12">
        <v>2018</v>
      </c>
      <c r="K559" s="12">
        <v>2024</v>
      </c>
      <c r="L559" s="15" t="s">
        <v>474</v>
      </c>
      <c r="M559" s="55" t="s">
        <v>2271</v>
      </c>
      <c r="N559" s="16" t="s">
        <v>2478</v>
      </c>
      <c r="O559" s="15" t="s">
        <v>763</v>
      </c>
      <c r="P559" s="12" t="s">
        <v>538</v>
      </c>
      <c r="Q559" s="30" t="s">
        <v>996</v>
      </c>
      <c r="R559" s="15" t="s">
        <v>20</v>
      </c>
      <c r="S559" s="28" t="s">
        <v>2631</v>
      </c>
      <c r="T559" s="12">
        <v>0</v>
      </c>
      <c r="U559" s="12"/>
      <c r="V559" s="17"/>
      <c r="W559" s="38"/>
      <c r="X559" s="12"/>
      <c r="Y559" s="17"/>
      <c r="AA559" s="66" t="s">
        <v>2805</v>
      </c>
    </row>
    <row r="560" spans="1:27" s="67" customFormat="1" ht="70">
      <c r="A560" s="13" t="s">
        <v>456</v>
      </c>
      <c r="B560" s="16" t="s">
        <v>469</v>
      </c>
      <c r="C560" s="12">
        <v>559</v>
      </c>
      <c r="D560" s="38" t="s">
        <v>1303</v>
      </c>
      <c r="E560" s="15" t="s">
        <v>1298</v>
      </c>
      <c r="F560" s="12" t="s">
        <v>403</v>
      </c>
      <c r="G560" s="16" t="s">
        <v>2614</v>
      </c>
      <c r="H560" s="13" t="s">
        <v>1132</v>
      </c>
      <c r="I560" s="33" t="s">
        <v>511</v>
      </c>
      <c r="J560" s="12">
        <v>2019</v>
      </c>
      <c r="K560" s="12">
        <v>2022</v>
      </c>
      <c r="L560" s="55" t="s">
        <v>474</v>
      </c>
      <c r="M560" s="55" t="s">
        <v>2271</v>
      </c>
      <c r="N560" s="55"/>
      <c r="O560" s="15" t="s">
        <v>763</v>
      </c>
      <c r="P560" s="12" t="s">
        <v>538</v>
      </c>
      <c r="Q560" s="30" t="s">
        <v>996</v>
      </c>
      <c r="R560" s="15" t="s">
        <v>20</v>
      </c>
      <c r="S560" s="28" t="s">
        <v>2631</v>
      </c>
      <c r="T560" s="12">
        <v>0</v>
      </c>
      <c r="U560" s="12"/>
      <c r="V560" s="17"/>
      <c r="W560" s="38"/>
      <c r="X560" s="12"/>
      <c r="Y560" s="17"/>
      <c r="Z560" s="83"/>
      <c r="AA560" s="165" t="s">
        <v>3080</v>
      </c>
    </row>
    <row r="561" spans="1:27" s="59" customFormat="1" ht="87.5">
      <c r="A561" s="13" t="s">
        <v>456</v>
      </c>
      <c r="B561" s="16" t="s">
        <v>469</v>
      </c>
      <c r="C561" s="12">
        <v>560</v>
      </c>
      <c r="D561" s="38" t="s">
        <v>997</v>
      </c>
      <c r="E561" s="15" t="s">
        <v>998</v>
      </c>
      <c r="F561" s="12" t="s">
        <v>403</v>
      </c>
      <c r="G561" s="12" t="s">
        <v>995</v>
      </c>
      <c r="H561" s="12" t="s">
        <v>164</v>
      </c>
      <c r="I561" s="14" t="s">
        <v>530</v>
      </c>
      <c r="J561" s="12">
        <v>2023</v>
      </c>
      <c r="K561" s="12">
        <v>2026</v>
      </c>
      <c r="L561" s="15" t="s">
        <v>474</v>
      </c>
      <c r="M561" s="55" t="s">
        <v>2271</v>
      </c>
      <c r="N561" s="16" t="s">
        <v>2478</v>
      </c>
      <c r="O561" s="15" t="s">
        <v>763</v>
      </c>
      <c r="P561" s="12" t="s">
        <v>538</v>
      </c>
      <c r="Q561" s="30" t="s">
        <v>996</v>
      </c>
      <c r="R561" s="15" t="s">
        <v>20</v>
      </c>
      <c r="S561" s="28" t="s">
        <v>2631</v>
      </c>
      <c r="T561" s="12">
        <v>0</v>
      </c>
      <c r="U561" s="12"/>
      <c r="V561" s="17"/>
      <c r="W561" s="38"/>
      <c r="X561" s="12"/>
      <c r="Y561" s="17"/>
      <c r="Z561" s="67"/>
      <c r="AA561" s="66" t="s">
        <v>2805</v>
      </c>
    </row>
    <row r="562" spans="1:27" s="59" customFormat="1" ht="70">
      <c r="A562" s="13" t="s">
        <v>456</v>
      </c>
      <c r="B562" s="16" t="s">
        <v>469</v>
      </c>
      <c r="C562" s="12">
        <v>561</v>
      </c>
      <c r="D562" s="33" t="s">
        <v>2495</v>
      </c>
      <c r="E562" s="16" t="s">
        <v>2496</v>
      </c>
      <c r="F562" s="13" t="s">
        <v>403</v>
      </c>
      <c r="G562" s="16" t="s">
        <v>2619</v>
      </c>
      <c r="H562" s="13" t="s">
        <v>408</v>
      </c>
      <c r="I562" s="33" t="s">
        <v>2497</v>
      </c>
      <c r="J562" s="13">
        <v>2024</v>
      </c>
      <c r="K562" s="16">
        <v>2027</v>
      </c>
      <c r="L562" s="16" t="s">
        <v>2498</v>
      </c>
      <c r="M562" s="16" t="s">
        <v>2499</v>
      </c>
      <c r="N562" s="16" t="s">
        <v>3143</v>
      </c>
      <c r="O562" s="15" t="s">
        <v>763</v>
      </c>
      <c r="P562" s="16" t="s">
        <v>538</v>
      </c>
      <c r="Q562" s="30" t="s">
        <v>996</v>
      </c>
      <c r="R562" s="15" t="s">
        <v>20</v>
      </c>
      <c r="S562" s="28" t="s">
        <v>2631</v>
      </c>
      <c r="T562" s="12">
        <v>0</v>
      </c>
      <c r="U562" s="12"/>
      <c r="V562" s="17"/>
      <c r="W562" s="38"/>
      <c r="X562" s="12"/>
      <c r="Y562" s="17"/>
      <c r="Z562" s="67"/>
      <c r="AA562" s="66"/>
    </row>
    <row r="563" spans="1:27" s="67" customFormat="1" ht="35">
      <c r="A563" s="13" t="s">
        <v>456</v>
      </c>
      <c r="B563" s="16" t="s">
        <v>469</v>
      </c>
      <c r="C563" s="12">
        <v>562</v>
      </c>
      <c r="D563" s="33" t="s">
        <v>1542</v>
      </c>
      <c r="E563" s="15" t="s">
        <v>1543</v>
      </c>
      <c r="F563" s="12" t="s">
        <v>403</v>
      </c>
      <c r="G563" s="16" t="s">
        <v>2616</v>
      </c>
      <c r="H563" s="12" t="s">
        <v>1132</v>
      </c>
      <c r="I563" s="33" t="s">
        <v>472</v>
      </c>
      <c r="J563" s="12">
        <v>2012</v>
      </c>
      <c r="K563" s="16">
        <v>2016</v>
      </c>
      <c r="L563" s="16" t="s">
        <v>471</v>
      </c>
      <c r="M563" s="15"/>
      <c r="N563" s="12"/>
      <c r="O563" s="15" t="s">
        <v>604</v>
      </c>
      <c r="P563" s="16" t="s">
        <v>62</v>
      </c>
      <c r="Q563" s="30" t="s">
        <v>996</v>
      </c>
      <c r="R563" s="15" t="s">
        <v>1550</v>
      </c>
      <c r="S563" s="28" t="s">
        <v>2631</v>
      </c>
      <c r="T563" s="12">
        <v>0</v>
      </c>
      <c r="U563" s="12"/>
      <c r="V563" s="17"/>
      <c r="W563" s="38"/>
      <c r="X563" s="12"/>
      <c r="Y563" s="17"/>
      <c r="AA563" s="165" t="s">
        <v>2653</v>
      </c>
    </row>
    <row r="564" spans="1:27" s="67" customFormat="1" ht="87.5">
      <c r="A564" s="13" t="s">
        <v>456</v>
      </c>
      <c r="B564" s="16" t="s">
        <v>469</v>
      </c>
      <c r="C564" s="12">
        <v>563</v>
      </c>
      <c r="D564" s="33" t="s">
        <v>1540</v>
      </c>
      <c r="E564" s="15" t="s">
        <v>1541</v>
      </c>
      <c r="F564" s="12" t="s">
        <v>403</v>
      </c>
      <c r="G564" s="16" t="s">
        <v>2615</v>
      </c>
      <c r="H564" s="12" t="s">
        <v>1132</v>
      </c>
      <c r="I564" s="33" t="s">
        <v>470</v>
      </c>
      <c r="J564" s="12">
        <v>2013</v>
      </c>
      <c r="K564" s="16">
        <v>2017</v>
      </c>
      <c r="L564" s="16" t="s">
        <v>471</v>
      </c>
      <c r="M564" s="15"/>
      <c r="N564" s="12"/>
      <c r="O564" s="15" t="s">
        <v>604</v>
      </c>
      <c r="P564" s="16" t="s">
        <v>62</v>
      </c>
      <c r="Q564" s="30" t="s">
        <v>996</v>
      </c>
      <c r="R564" s="15" t="s">
        <v>1550</v>
      </c>
      <c r="S564" s="28" t="s">
        <v>2631</v>
      </c>
      <c r="T564" s="12">
        <v>0</v>
      </c>
      <c r="U564" s="12"/>
      <c r="V564" s="17"/>
      <c r="W564" s="38"/>
      <c r="X564" s="12"/>
      <c r="Y564" s="17"/>
      <c r="AA564" s="165" t="s">
        <v>2653</v>
      </c>
    </row>
    <row r="565" spans="1:27" s="67" customFormat="1" ht="87.5">
      <c r="A565" s="13" t="s">
        <v>456</v>
      </c>
      <c r="B565" s="16" t="s">
        <v>469</v>
      </c>
      <c r="C565" s="12">
        <v>564</v>
      </c>
      <c r="D565" s="33" t="s">
        <v>2471</v>
      </c>
      <c r="E565" s="16" t="s">
        <v>2357</v>
      </c>
      <c r="F565" s="13" t="s">
        <v>403</v>
      </c>
      <c r="G565" s="16" t="s">
        <v>995</v>
      </c>
      <c r="H565" s="13" t="s">
        <v>164</v>
      </c>
      <c r="I565" s="33" t="s">
        <v>2473</v>
      </c>
      <c r="J565" s="13">
        <v>2024</v>
      </c>
      <c r="K565" s="16">
        <v>2026</v>
      </c>
      <c r="L565" s="16" t="s">
        <v>2474</v>
      </c>
      <c r="M565" s="16" t="s">
        <v>2477</v>
      </c>
      <c r="N565" s="16" t="s">
        <v>2478</v>
      </c>
      <c r="O565" s="15" t="s">
        <v>765</v>
      </c>
      <c r="P565" s="16" t="s">
        <v>57</v>
      </c>
      <c r="Q565" s="30" t="s">
        <v>996</v>
      </c>
      <c r="R565" s="15" t="s">
        <v>20</v>
      </c>
      <c r="S565" s="28" t="s">
        <v>2631</v>
      </c>
      <c r="T565" s="12">
        <v>0</v>
      </c>
      <c r="U565" s="12"/>
      <c r="V565" s="17"/>
      <c r="W565" s="38"/>
      <c r="X565" s="12"/>
      <c r="Y565" s="17"/>
      <c r="Z565" s="59"/>
      <c r="AA565" s="66" t="s">
        <v>2805</v>
      </c>
    </row>
    <row r="566" spans="1:27" s="67" customFormat="1" ht="87.5">
      <c r="A566" s="13" t="s">
        <v>456</v>
      </c>
      <c r="B566" s="16" t="s">
        <v>469</v>
      </c>
      <c r="C566" s="12">
        <v>565</v>
      </c>
      <c r="D566" s="33" t="s">
        <v>2475</v>
      </c>
      <c r="E566" s="16" t="s">
        <v>2357</v>
      </c>
      <c r="F566" s="13" t="s">
        <v>403</v>
      </c>
      <c r="G566" s="16" t="s">
        <v>2472</v>
      </c>
      <c r="H566" s="13" t="s">
        <v>164</v>
      </c>
      <c r="I566" s="33" t="s">
        <v>2476</v>
      </c>
      <c r="J566" s="13">
        <v>2024</v>
      </c>
      <c r="K566" s="16">
        <v>2026</v>
      </c>
      <c r="L566" s="16" t="s">
        <v>2474</v>
      </c>
      <c r="M566" s="16" t="s">
        <v>2477</v>
      </c>
      <c r="N566" s="16" t="s">
        <v>2478</v>
      </c>
      <c r="O566" s="15" t="s">
        <v>604</v>
      </c>
      <c r="P566" s="16" t="s">
        <v>538</v>
      </c>
      <c r="Q566" s="30" t="s">
        <v>996</v>
      </c>
      <c r="R566" s="15" t="s">
        <v>20</v>
      </c>
      <c r="S566" s="28" t="s">
        <v>2631</v>
      </c>
      <c r="T566" s="12">
        <v>0</v>
      </c>
      <c r="U566" s="12"/>
      <c r="V566" s="17"/>
      <c r="W566" s="38"/>
      <c r="X566" s="12"/>
      <c r="Y566" s="17"/>
      <c r="Z566" s="59"/>
      <c r="AA566" s="66" t="s">
        <v>2805</v>
      </c>
    </row>
    <row r="567" spans="1:27" s="67" customFormat="1" ht="70">
      <c r="A567" s="13" t="s">
        <v>456</v>
      </c>
      <c r="B567" s="16" t="s">
        <v>469</v>
      </c>
      <c r="C567" s="12">
        <v>566</v>
      </c>
      <c r="D567" s="38" t="s">
        <v>1302</v>
      </c>
      <c r="E567" s="15" t="s">
        <v>1297</v>
      </c>
      <c r="F567" s="12" t="s">
        <v>403</v>
      </c>
      <c r="G567" s="16" t="s">
        <v>2614</v>
      </c>
      <c r="H567" s="13" t="s">
        <v>1132</v>
      </c>
      <c r="I567" s="33" t="s">
        <v>510</v>
      </c>
      <c r="J567" s="12">
        <v>2012</v>
      </c>
      <c r="K567" s="12">
        <v>2020</v>
      </c>
      <c r="L567" s="55" t="s">
        <v>477</v>
      </c>
      <c r="M567" s="55" t="s">
        <v>2270</v>
      </c>
      <c r="N567" s="55"/>
      <c r="O567" s="15" t="s">
        <v>765</v>
      </c>
      <c r="P567" s="12" t="s">
        <v>57</v>
      </c>
      <c r="Q567" s="30" t="s">
        <v>996</v>
      </c>
      <c r="R567" s="15" t="s">
        <v>20</v>
      </c>
      <c r="S567" s="28" t="s">
        <v>2631</v>
      </c>
      <c r="T567" s="12">
        <v>0</v>
      </c>
      <c r="U567" s="12"/>
      <c r="V567" s="17"/>
      <c r="W567" s="38"/>
      <c r="X567" s="12"/>
      <c r="Y567" s="17"/>
      <c r="Z567" s="83"/>
      <c r="AA567" s="165" t="s">
        <v>2653</v>
      </c>
    </row>
    <row r="568" spans="1:27" s="67" customFormat="1" ht="70">
      <c r="A568" s="13" t="s">
        <v>456</v>
      </c>
      <c r="B568" s="16" t="s">
        <v>469</v>
      </c>
      <c r="C568" s="12">
        <v>567</v>
      </c>
      <c r="D568" s="33" t="s">
        <v>1548</v>
      </c>
      <c r="E568" s="15" t="s">
        <v>1549</v>
      </c>
      <c r="F568" s="12" t="s">
        <v>403</v>
      </c>
      <c r="G568" s="16" t="s">
        <v>2614</v>
      </c>
      <c r="H568" s="12" t="s">
        <v>1132</v>
      </c>
      <c r="I568" s="33" t="s">
        <v>476</v>
      </c>
      <c r="J568" s="12">
        <v>2012</v>
      </c>
      <c r="K568" s="16">
        <v>2016</v>
      </c>
      <c r="L568" s="16" t="s">
        <v>477</v>
      </c>
      <c r="M568" s="15"/>
      <c r="N568" s="12"/>
      <c r="O568" s="15" t="s">
        <v>604</v>
      </c>
      <c r="P568" s="16" t="s">
        <v>62</v>
      </c>
      <c r="Q568" s="30" t="s">
        <v>996</v>
      </c>
      <c r="R568" s="15" t="s">
        <v>20</v>
      </c>
      <c r="S568" s="28" t="s">
        <v>2631</v>
      </c>
      <c r="T568" s="12">
        <v>0</v>
      </c>
      <c r="U568" s="12"/>
      <c r="V568" s="17"/>
      <c r="W568" s="38"/>
      <c r="X568" s="12"/>
      <c r="Y568" s="17"/>
      <c r="AA568" s="165" t="s">
        <v>3080</v>
      </c>
    </row>
    <row r="569" spans="1:27" s="67" customFormat="1" ht="140">
      <c r="A569" s="13" t="s">
        <v>456</v>
      </c>
      <c r="B569" s="28" t="s">
        <v>495</v>
      </c>
      <c r="C569" s="29">
        <v>568</v>
      </c>
      <c r="D569" s="108" t="s">
        <v>496</v>
      </c>
      <c r="E569" s="46" t="s">
        <v>1289</v>
      </c>
      <c r="F569" s="29" t="s">
        <v>534</v>
      </c>
      <c r="G569" s="48" t="s">
        <v>800</v>
      </c>
      <c r="H569" s="28" t="s">
        <v>1132</v>
      </c>
      <c r="I569" s="47" t="s">
        <v>497</v>
      </c>
      <c r="J569" s="29">
        <v>2018</v>
      </c>
      <c r="K569" s="29">
        <v>2021</v>
      </c>
      <c r="L569" s="131" t="s">
        <v>498</v>
      </c>
      <c r="M569" s="46" t="s">
        <v>2429</v>
      </c>
      <c r="N569" s="131" t="s">
        <v>499</v>
      </c>
      <c r="O569" s="16" t="s">
        <v>59</v>
      </c>
      <c r="P569" s="29" t="s">
        <v>57</v>
      </c>
      <c r="Q569" s="48" t="s">
        <v>864</v>
      </c>
      <c r="R569" s="46" t="s">
        <v>44</v>
      </c>
      <c r="S569" s="28" t="s">
        <v>2629</v>
      </c>
      <c r="T569" s="29">
        <v>1</v>
      </c>
      <c r="U569" s="29" t="s">
        <v>2960</v>
      </c>
      <c r="V569" s="17" t="s">
        <v>502</v>
      </c>
      <c r="W569" s="38" t="s">
        <v>500</v>
      </c>
      <c r="X569" s="12" t="s">
        <v>2970</v>
      </c>
      <c r="Y569" s="17" t="s">
        <v>501</v>
      </c>
      <c r="Z569" s="83"/>
      <c r="AA569" s="83"/>
    </row>
    <row r="570" spans="1:27" s="59" customFormat="1" ht="105">
      <c r="A570" s="13" t="s">
        <v>456</v>
      </c>
      <c r="B570" s="28" t="s">
        <v>495</v>
      </c>
      <c r="C570" s="29">
        <v>569</v>
      </c>
      <c r="D570" s="138" t="s">
        <v>2590</v>
      </c>
      <c r="E570" s="139" t="s">
        <v>2583</v>
      </c>
      <c r="F570" s="29" t="s">
        <v>534</v>
      </c>
      <c r="G570" s="48">
        <v>3079.3</v>
      </c>
      <c r="H570" s="28" t="s">
        <v>1132</v>
      </c>
      <c r="I570" s="47" t="s">
        <v>503</v>
      </c>
      <c r="J570" s="29">
        <v>2021</v>
      </c>
      <c r="K570" s="29">
        <v>2023</v>
      </c>
      <c r="L570" s="131" t="s">
        <v>504</v>
      </c>
      <c r="M570" s="46" t="s">
        <v>2428</v>
      </c>
      <c r="N570" s="131" t="s">
        <v>2430</v>
      </c>
      <c r="O570" s="15" t="s">
        <v>604</v>
      </c>
      <c r="P570" s="29" t="s">
        <v>57</v>
      </c>
      <c r="Q570" s="48" t="s">
        <v>864</v>
      </c>
      <c r="R570" s="46" t="s">
        <v>43</v>
      </c>
      <c r="S570" s="28" t="s">
        <v>2629</v>
      </c>
      <c r="T570" s="29">
        <v>1</v>
      </c>
      <c r="U570" s="29" t="s">
        <v>2955</v>
      </c>
      <c r="V570" s="17" t="s">
        <v>506</v>
      </c>
      <c r="W570" s="38" t="s">
        <v>505</v>
      </c>
      <c r="X570" s="12" t="s">
        <v>2970</v>
      </c>
      <c r="Y570" s="17" t="s">
        <v>504</v>
      </c>
      <c r="Z570" s="83"/>
      <c r="AA570" s="66"/>
    </row>
    <row r="571" spans="1:27" s="59" customFormat="1" ht="70">
      <c r="A571" s="13" t="s">
        <v>456</v>
      </c>
      <c r="B571" s="28" t="s">
        <v>495</v>
      </c>
      <c r="C571" s="29">
        <v>570</v>
      </c>
      <c r="D571" s="47" t="s">
        <v>2479</v>
      </c>
      <c r="E571" s="139" t="s">
        <v>2584</v>
      </c>
      <c r="F571" s="28" t="s">
        <v>534</v>
      </c>
      <c r="G571" s="48">
        <v>3079.3</v>
      </c>
      <c r="H571" s="28" t="s">
        <v>164</v>
      </c>
      <c r="I571" s="44" t="s">
        <v>2480</v>
      </c>
      <c r="J571" s="28">
        <v>2023</v>
      </c>
      <c r="K571" s="28">
        <v>2025</v>
      </c>
      <c r="L571" s="48" t="s">
        <v>2481</v>
      </c>
      <c r="M571" s="48" t="s">
        <v>2427</v>
      </c>
      <c r="N571" s="131" t="s">
        <v>2430</v>
      </c>
      <c r="O571" s="15" t="s">
        <v>604</v>
      </c>
      <c r="P571" s="28" t="s">
        <v>57</v>
      </c>
      <c r="Q571" s="48" t="s">
        <v>864</v>
      </c>
      <c r="R571" s="46" t="s">
        <v>43</v>
      </c>
      <c r="S571" s="28" t="s">
        <v>2631</v>
      </c>
      <c r="T571" s="29">
        <v>0</v>
      </c>
      <c r="U571" s="29"/>
      <c r="V571" s="17"/>
      <c r="W571" s="38"/>
      <c r="X571" s="12"/>
      <c r="Y571" s="17"/>
      <c r="AA571" s="66"/>
    </row>
    <row r="572" spans="1:27" s="59" customFormat="1" ht="122.5">
      <c r="A572" s="13" t="s">
        <v>456</v>
      </c>
      <c r="B572" s="28" t="s">
        <v>495</v>
      </c>
      <c r="C572" s="29">
        <v>571</v>
      </c>
      <c r="D572" s="108"/>
      <c r="E572" s="46"/>
      <c r="F572" s="29" t="s">
        <v>1330</v>
      </c>
      <c r="G572" s="29" t="s">
        <v>2568</v>
      </c>
      <c r="H572" s="29" t="s">
        <v>389</v>
      </c>
      <c r="I572" s="44" t="s">
        <v>522</v>
      </c>
      <c r="J572" s="29">
        <v>2025</v>
      </c>
      <c r="K572" s="29">
        <v>2028</v>
      </c>
      <c r="L572" s="46" t="s">
        <v>523</v>
      </c>
      <c r="M572" s="46"/>
      <c r="N572" s="29"/>
      <c r="O572" s="16" t="s">
        <v>93</v>
      </c>
      <c r="P572" s="29" t="s">
        <v>990</v>
      </c>
      <c r="Q572" s="48" t="s">
        <v>864</v>
      </c>
      <c r="R572" s="46" t="s">
        <v>44</v>
      </c>
      <c r="S572" s="28" t="s">
        <v>2631</v>
      </c>
      <c r="T572" s="29">
        <v>0</v>
      </c>
      <c r="U572" s="29"/>
      <c r="V572" s="17"/>
      <c r="W572" s="38"/>
      <c r="X572" s="12"/>
      <c r="Y572" s="17"/>
      <c r="Z572" s="67"/>
      <c r="AA572" s="165" t="s">
        <v>2653</v>
      </c>
    </row>
    <row r="573" spans="1:27" s="59" customFormat="1" ht="122.5">
      <c r="A573" s="13" t="s">
        <v>456</v>
      </c>
      <c r="B573" s="28" t="s">
        <v>495</v>
      </c>
      <c r="C573" s="29">
        <v>572</v>
      </c>
      <c r="D573" s="108" t="s">
        <v>991</v>
      </c>
      <c r="E573" s="46" t="s">
        <v>992</v>
      </c>
      <c r="F573" s="29" t="s">
        <v>58</v>
      </c>
      <c r="G573" s="348" t="s">
        <v>3199</v>
      </c>
      <c r="H573" s="29" t="s">
        <v>164</v>
      </c>
      <c r="I573" s="44" t="s">
        <v>527</v>
      </c>
      <c r="J573" s="29">
        <v>2022</v>
      </c>
      <c r="K573" s="29">
        <v>2025</v>
      </c>
      <c r="L573" s="46" t="s">
        <v>528</v>
      </c>
      <c r="M573" s="46" t="s">
        <v>993</v>
      </c>
      <c r="N573" s="349" t="s">
        <v>3200</v>
      </c>
      <c r="O573" s="15" t="s">
        <v>604</v>
      </c>
      <c r="P573" s="29" t="s">
        <v>990</v>
      </c>
      <c r="Q573" s="48" t="s">
        <v>864</v>
      </c>
      <c r="R573" s="46" t="s">
        <v>44</v>
      </c>
      <c r="S573" s="28" t="s">
        <v>2631</v>
      </c>
      <c r="T573" s="29">
        <v>0</v>
      </c>
      <c r="U573" s="29"/>
      <c r="V573" s="17"/>
      <c r="W573" s="38"/>
      <c r="X573" s="12"/>
      <c r="Y573" s="17"/>
      <c r="Z573" s="67"/>
      <c r="AA573" s="165" t="s">
        <v>3080</v>
      </c>
    </row>
    <row r="574" spans="1:27" s="67" customFormat="1" ht="122.5">
      <c r="A574" s="13" t="s">
        <v>456</v>
      </c>
      <c r="B574" s="28" t="s">
        <v>495</v>
      </c>
      <c r="C574" s="29">
        <v>573</v>
      </c>
      <c r="D574" s="47" t="s">
        <v>2585</v>
      </c>
      <c r="E574" s="48"/>
      <c r="F574" s="28" t="s">
        <v>2</v>
      </c>
      <c r="G574" s="348" t="s">
        <v>3199</v>
      </c>
      <c r="H574" s="28" t="s">
        <v>389</v>
      </c>
      <c r="I574" s="44" t="s">
        <v>2487</v>
      </c>
      <c r="J574" s="28">
        <v>2024</v>
      </c>
      <c r="K574" s="28">
        <v>2026</v>
      </c>
      <c r="L574" s="48" t="s">
        <v>2586</v>
      </c>
      <c r="M574" s="48"/>
      <c r="N574" s="349" t="s">
        <v>3200</v>
      </c>
      <c r="O574" s="15" t="s">
        <v>604</v>
      </c>
      <c r="P574" s="28" t="s">
        <v>990</v>
      </c>
      <c r="Q574" s="48" t="s">
        <v>864</v>
      </c>
      <c r="R574" s="48" t="s">
        <v>44</v>
      </c>
      <c r="S574" s="28" t="s">
        <v>2631</v>
      </c>
      <c r="T574" s="29">
        <v>0</v>
      </c>
      <c r="U574" s="29"/>
      <c r="V574" s="17"/>
      <c r="W574" s="38"/>
      <c r="X574" s="12"/>
      <c r="Y574" s="17"/>
      <c r="Z574" s="59"/>
      <c r="AA574" s="83" t="s">
        <v>2653</v>
      </c>
    </row>
    <row r="575" spans="1:27" s="67" customFormat="1" ht="157.5">
      <c r="A575" s="13" t="s">
        <v>456</v>
      </c>
      <c r="B575" s="28" t="s">
        <v>495</v>
      </c>
      <c r="C575" s="29">
        <v>574</v>
      </c>
      <c r="D575" s="108" t="s">
        <v>1291</v>
      </c>
      <c r="E575" s="46" t="s">
        <v>1290</v>
      </c>
      <c r="F575" s="29" t="s">
        <v>58</v>
      </c>
      <c r="G575" s="48" t="s">
        <v>246</v>
      </c>
      <c r="H575" s="28" t="s">
        <v>1132</v>
      </c>
      <c r="I575" s="44" t="s">
        <v>1292</v>
      </c>
      <c r="J575" s="29">
        <v>2019</v>
      </c>
      <c r="K575" s="29">
        <v>2021</v>
      </c>
      <c r="L575" s="140" t="s">
        <v>507</v>
      </c>
      <c r="M575" s="46" t="s">
        <v>993</v>
      </c>
      <c r="N575" s="29"/>
      <c r="O575" s="15" t="s">
        <v>604</v>
      </c>
      <c r="P575" s="29" t="s">
        <v>57</v>
      </c>
      <c r="Q575" s="48" t="s">
        <v>864</v>
      </c>
      <c r="R575" s="46" t="s">
        <v>44</v>
      </c>
      <c r="S575" s="28" t="s">
        <v>2631</v>
      </c>
      <c r="T575" s="29">
        <v>0</v>
      </c>
      <c r="U575" s="29"/>
      <c r="V575" s="17"/>
      <c r="W575" s="38"/>
      <c r="X575" s="12" t="s">
        <v>1136</v>
      </c>
      <c r="Y575" s="17"/>
      <c r="Z575" s="83"/>
      <c r="AA575" s="165" t="s">
        <v>2653</v>
      </c>
    </row>
    <row r="576" spans="1:27" s="67" customFormat="1" ht="70">
      <c r="A576" s="13" t="s">
        <v>456</v>
      </c>
      <c r="B576" s="28" t="s">
        <v>495</v>
      </c>
      <c r="C576" s="29">
        <v>575</v>
      </c>
      <c r="D576" s="108"/>
      <c r="E576" s="46"/>
      <c r="F576" s="29" t="s">
        <v>534</v>
      </c>
      <c r="G576" s="29">
        <v>3079</v>
      </c>
      <c r="H576" s="29" t="s">
        <v>389</v>
      </c>
      <c r="I576" s="44" t="s">
        <v>524</v>
      </c>
      <c r="J576" s="29">
        <v>2025</v>
      </c>
      <c r="K576" s="29">
        <v>2028</v>
      </c>
      <c r="L576" s="46" t="s">
        <v>525</v>
      </c>
      <c r="M576" s="46"/>
      <c r="N576" s="29"/>
      <c r="O576" s="15" t="s">
        <v>765</v>
      </c>
      <c r="P576" s="29" t="s">
        <v>57</v>
      </c>
      <c r="Q576" s="48" t="s">
        <v>864</v>
      </c>
      <c r="R576" s="46" t="s">
        <v>44</v>
      </c>
      <c r="S576" s="28" t="s">
        <v>2631</v>
      </c>
      <c r="T576" s="29">
        <v>0</v>
      </c>
      <c r="U576" s="29"/>
      <c r="V576" s="17"/>
      <c r="W576" s="38"/>
      <c r="X576" s="12"/>
      <c r="Y576" s="17"/>
      <c r="AA576" s="165" t="s">
        <v>2653</v>
      </c>
    </row>
    <row r="577" spans="1:27" s="67" customFormat="1" ht="70">
      <c r="A577" s="13" t="s">
        <v>456</v>
      </c>
      <c r="B577" s="28" t="s">
        <v>495</v>
      </c>
      <c r="C577" s="29">
        <v>576</v>
      </c>
      <c r="D577" s="108" t="s">
        <v>1301</v>
      </c>
      <c r="E577" s="46" t="s">
        <v>1296</v>
      </c>
      <c r="F577" s="29" t="s">
        <v>770</v>
      </c>
      <c r="G577" s="48" t="s">
        <v>508</v>
      </c>
      <c r="H577" s="28" t="s">
        <v>1132</v>
      </c>
      <c r="I577" s="47" t="s">
        <v>509</v>
      </c>
      <c r="J577" s="29">
        <v>2018</v>
      </c>
      <c r="K577" s="29">
        <v>2020</v>
      </c>
      <c r="L577" s="131" t="s">
        <v>1307</v>
      </c>
      <c r="M577" s="131" t="s">
        <v>2426</v>
      </c>
      <c r="N577" s="29"/>
      <c r="O577" s="15" t="s">
        <v>604</v>
      </c>
      <c r="P577" s="29" t="s">
        <v>57</v>
      </c>
      <c r="Q577" s="48" t="s">
        <v>864</v>
      </c>
      <c r="R577" s="46" t="s">
        <v>44</v>
      </c>
      <c r="S577" s="28" t="s">
        <v>2631</v>
      </c>
      <c r="T577" s="29">
        <v>0</v>
      </c>
      <c r="U577" s="29"/>
      <c r="V577" s="17"/>
      <c r="W577" s="38"/>
      <c r="X577" s="12"/>
      <c r="Y577" s="17"/>
      <c r="Z577" s="83"/>
      <c r="AA577" s="165" t="s">
        <v>2653</v>
      </c>
    </row>
    <row r="578" spans="1:27" s="67" customFormat="1" ht="70">
      <c r="A578" s="13" t="s">
        <v>456</v>
      </c>
      <c r="B578" s="28" t="s">
        <v>495</v>
      </c>
      <c r="C578" s="29">
        <v>577</v>
      </c>
      <c r="D578" s="47" t="s">
        <v>2482</v>
      </c>
      <c r="E578" s="48" t="s">
        <v>2483</v>
      </c>
      <c r="F578" s="28" t="s">
        <v>770</v>
      </c>
      <c r="G578" s="28" t="s">
        <v>2484</v>
      </c>
      <c r="H578" s="28" t="s">
        <v>164</v>
      </c>
      <c r="I578" s="44" t="s">
        <v>2485</v>
      </c>
      <c r="J578" s="28">
        <v>2023</v>
      </c>
      <c r="K578" s="28">
        <v>2026</v>
      </c>
      <c r="L578" s="48" t="s">
        <v>2486</v>
      </c>
      <c r="M578" s="48" t="s">
        <v>2425</v>
      </c>
      <c r="N578" s="28"/>
      <c r="O578" s="15" t="s">
        <v>604</v>
      </c>
      <c r="P578" s="28" t="s">
        <v>57</v>
      </c>
      <c r="Q578" s="48" t="s">
        <v>864</v>
      </c>
      <c r="R578" s="46" t="s">
        <v>44</v>
      </c>
      <c r="S578" s="28" t="s">
        <v>2631</v>
      </c>
      <c r="T578" s="29">
        <v>0</v>
      </c>
      <c r="U578" s="29"/>
      <c r="V578" s="17"/>
      <c r="W578" s="38"/>
      <c r="X578" s="12"/>
      <c r="Y578" s="17"/>
      <c r="Z578" s="59"/>
      <c r="AA578" s="165" t="s">
        <v>2653</v>
      </c>
    </row>
    <row r="579" spans="1:27" s="59" customFormat="1" ht="52.5">
      <c r="A579" s="13" t="s">
        <v>456</v>
      </c>
      <c r="B579" s="28" t="s">
        <v>495</v>
      </c>
      <c r="C579" s="29">
        <v>578</v>
      </c>
      <c r="D579" s="47" t="s">
        <v>2587</v>
      </c>
      <c r="E579" s="48" t="s">
        <v>2588</v>
      </c>
      <c r="F579" s="28" t="s">
        <v>770</v>
      </c>
      <c r="G579" s="28" t="s">
        <v>2484</v>
      </c>
      <c r="H579" s="28" t="s">
        <v>164</v>
      </c>
      <c r="I579" s="44" t="s">
        <v>2589</v>
      </c>
      <c r="J579" s="28">
        <v>2024</v>
      </c>
      <c r="K579" s="28">
        <v>2027</v>
      </c>
      <c r="L579" s="48" t="s">
        <v>2486</v>
      </c>
      <c r="M579" s="48" t="s">
        <v>2425</v>
      </c>
      <c r="N579" s="28"/>
      <c r="O579" s="15" t="s">
        <v>604</v>
      </c>
      <c r="P579" s="28" t="s">
        <v>57</v>
      </c>
      <c r="Q579" s="48" t="s">
        <v>864</v>
      </c>
      <c r="R579" s="46" t="s">
        <v>44</v>
      </c>
      <c r="S579" s="28" t="s">
        <v>2631</v>
      </c>
      <c r="T579" s="29">
        <v>0</v>
      </c>
      <c r="U579" s="29"/>
      <c r="V579" s="17"/>
      <c r="W579" s="38"/>
      <c r="X579" s="12"/>
      <c r="Y579" s="17"/>
      <c r="AA579" s="165" t="s">
        <v>2653</v>
      </c>
    </row>
    <row r="580" spans="1:27" s="67" customFormat="1" ht="122.5">
      <c r="A580" s="13" t="s">
        <v>547</v>
      </c>
      <c r="B580" s="28" t="s">
        <v>533</v>
      </c>
      <c r="C580" s="29">
        <v>579</v>
      </c>
      <c r="D580" s="47" t="s">
        <v>1591</v>
      </c>
      <c r="E580" s="46" t="s">
        <v>1592</v>
      </c>
      <c r="F580" s="29" t="s">
        <v>534</v>
      </c>
      <c r="G580" s="28" t="s">
        <v>535</v>
      </c>
      <c r="H580" s="29" t="s">
        <v>1132</v>
      </c>
      <c r="I580" s="47" t="s">
        <v>536</v>
      </c>
      <c r="J580" s="29">
        <v>2012</v>
      </c>
      <c r="K580" s="48">
        <v>2015</v>
      </c>
      <c r="L580" s="28" t="s">
        <v>537</v>
      </c>
      <c r="M580" s="46"/>
      <c r="N580" s="29"/>
      <c r="O580" s="15" t="s">
        <v>604</v>
      </c>
      <c r="P580" s="28" t="s">
        <v>538</v>
      </c>
      <c r="Q580" s="48" t="s">
        <v>858</v>
      </c>
      <c r="R580" s="46" t="s">
        <v>37</v>
      </c>
      <c r="S580" s="28" t="s">
        <v>2631</v>
      </c>
      <c r="T580" s="29">
        <v>0</v>
      </c>
      <c r="U580" s="29"/>
      <c r="V580" s="17"/>
      <c r="W580" s="38"/>
      <c r="X580" s="12"/>
      <c r="Y580" s="17"/>
      <c r="AA580" s="165" t="s">
        <v>2653</v>
      </c>
    </row>
    <row r="581" spans="1:27" s="67" customFormat="1" ht="87.5">
      <c r="A581" s="13" t="s">
        <v>547</v>
      </c>
      <c r="B581" s="13" t="s">
        <v>533</v>
      </c>
      <c r="C581" s="12">
        <v>580</v>
      </c>
      <c r="D581" s="33" t="s">
        <v>1584</v>
      </c>
      <c r="E581" s="15" t="s">
        <v>1585</v>
      </c>
      <c r="F581" s="12" t="s">
        <v>162</v>
      </c>
      <c r="G581" s="13" t="s">
        <v>1002</v>
      </c>
      <c r="H581" s="12" t="s">
        <v>1132</v>
      </c>
      <c r="I581" s="33" t="s">
        <v>539</v>
      </c>
      <c r="J581" s="12">
        <v>2012</v>
      </c>
      <c r="K581" s="13">
        <v>2016</v>
      </c>
      <c r="L581" s="13" t="s">
        <v>540</v>
      </c>
      <c r="M581" s="15"/>
      <c r="N581" s="12"/>
      <c r="O581" s="16" t="s">
        <v>59</v>
      </c>
      <c r="P581" s="16" t="s">
        <v>57</v>
      </c>
      <c r="Q581" s="30" t="s">
        <v>910</v>
      </c>
      <c r="R581" s="15" t="s">
        <v>23</v>
      </c>
      <c r="S581" s="28" t="s">
        <v>2631</v>
      </c>
      <c r="T581" s="12">
        <v>0</v>
      </c>
      <c r="U581" s="12"/>
      <c r="V581" s="17"/>
      <c r="W581" s="38"/>
      <c r="X581" s="12"/>
      <c r="Y581" s="17"/>
      <c r="AA581" s="165" t="s">
        <v>2653</v>
      </c>
    </row>
    <row r="582" spans="1:27" s="67" customFormat="1" ht="122.5">
      <c r="A582" s="13" t="s">
        <v>547</v>
      </c>
      <c r="B582" s="13" t="s">
        <v>533</v>
      </c>
      <c r="C582" s="12">
        <v>581</v>
      </c>
      <c r="D582" s="33" t="s">
        <v>1586</v>
      </c>
      <c r="E582" s="15" t="s">
        <v>1587</v>
      </c>
      <c r="F582" s="12" t="s">
        <v>162</v>
      </c>
      <c r="G582" s="13" t="s">
        <v>1002</v>
      </c>
      <c r="H582" s="12" t="s">
        <v>1132</v>
      </c>
      <c r="I582" s="33" t="s">
        <v>541</v>
      </c>
      <c r="J582" s="13">
        <v>2015</v>
      </c>
      <c r="K582" s="13">
        <v>2019</v>
      </c>
      <c r="L582" s="13" t="s">
        <v>540</v>
      </c>
      <c r="M582" s="15"/>
      <c r="N582" s="12"/>
      <c r="O582" s="16" t="s">
        <v>59</v>
      </c>
      <c r="P582" s="16" t="s">
        <v>57</v>
      </c>
      <c r="Q582" s="30" t="s">
        <v>910</v>
      </c>
      <c r="R582" s="15" t="s">
        <v>23</v>
      </c>
      <c r="S582" s="28" t="s">
        <v>2631</v>
      </c>
      <c r="T582" s="12">
        <v>0</v>
      </c>
      <c r="U582" s="12"/>
      <c r="V582" s="17"/>
      <c r="W582" s="38"/>
      <c r="X582" s="12"/>
      <c r="Y582" s="17"/>
      <c r="AA582" s="165" t="s">
        <v>2653</v>
      </c>
    </row>
    <row r="583" spans="1:27" s="67" customFormat="1" ht="87.5">
      <c r="A583" s="13" t="s">
        <v>547</v>
      </c>
      <c r="B583" s="13" t="s">
        <v>999</v>
      </c>
      <c r="C583" s="12">
        <v>582</v>
      </c>
      <c r="D583" s="38" t="s">
        <v>1000</v>
      </c>
      <c r="E583" s="15" t="s">
        <v>1001</v>
      </c>
      <c r="F583" s="12" t="s">
        <v>162</v>
      </c>
      <c r="G583" s="12" t="s">
        <v>1002</v>
      </c>
      <c r="H583" s="12" t="s">
        <v>164</v>
      </c>
      <c r="I583" s="16" t="s">
        <v>757</v>
      </c>
      <c r="J583" s="12">
        <v>2022</v>
      </c>
      <c r="K583" s="12">
        <v>2024</v>
      </c>
      <c r="L583" s="15" t="s">
        <v>1003</v>
      </c>
      <c r="M583" s="15" t="s">
        <v>2491</v>
      </c>
      <c r="N583" s="12"/>
      <c r="O583" s="15" t="s">
        <v>604</v>
      </c>
      <c r="P583" s="12" t="s">
        <v>758</v>
      </c>
      <c r="Q583" s="30" t="s">
        <v>910</v>
      </c>
      <c r="R583" s="15" t="s">
        <v>23</v>
      </c>
      <c r="S583" s="28" t="s">
        <v>2631</v>
      </c>
      <c r="T583" s="12">
        <v>0</v>
      </c>
      <c r="U583" s="12"/>
      <c r="V583" s="17"/>
      <c r="W583" s="38"/>
      <c r="X583" s="12"/>
      <c r="Y583" s="17"/>
      <c r="AA583" s="165" t="s">
        <v>2653</v>
      </c>
    </row>
    <row r="584" spans="1:27" s="67" customFormat="1" ht="105">
      <c r="A584" s="13" t="s">
        <v>547</v>
      </c>
      <c r="B584" s="13" t="s">
        <v>533</v>
      </c>
      <c r="C584" s="12">
        <v>583</v>
      </c>
      <c r="D584" s="33" t="s">
        <v>2488</v>
      </c>
      <c r="E584" s="16" t="s">
        <v>2489</v>
      </c>
      <c r="F584" s="13" t="s">
        <v>162</v>
      </c>
      <c r="G584" s="13" t="s">
        <v>1002</v>
      </c>
      <c r="H584" s="13" t="s">
        <v>164</v>
      </c>
      <c r="I584" s="33" t="s">
        <v>2490</v>
      </c>
      <c r="J584" s="13">
        <v>2022</v>
      </c>
      <c r="K584" s="16">
        <v>2024</v>
      </c>
      <c r="L584" s="13" t="s">
        <v>540</v>
      </c>
      <c r="M584" s="15" t="s">
        <v>2491</v>
      </c>
      <c r="N584" s="13"/>
      <c r="O584" s="15" t="s">
        <v>604</v>
      </c>
      <c r="P584" s="13" t="s">
        <v>538</v>
      </c>
      <c r="Q584" s="30" t="s">
        <v>910</v>
      </c>
      <c r="R584" s="15" t="s">
        <v>23</v>
      </c>
      <c r="S584" s="28" t="s">
        <v>2631</v>
      </c>
      <c r="T584" s="12">
        <v>0</v>
      </c>
      <c r="U584" s="12"/>
      <c r="V584" s="17"/>
      <c r="W584" s="38"/>
      <c r="X584" s="12"/>
      <c r="Y584" s="17"/>
      <c r="Z584" s="59"/>
      <c r="AA584" s="165" t="s">
        <v>2653</v>
      </c>
    </row>
    <row r="585" spans="1:27" s="59" customFormat="1" ht="105">
      <c r="A585" s="13" t="s">
        <v>547</v>
      </c>
      <c r="B585" s="13" t="s">
        <v>533</v>
      </c>
      <c r="C585" s="12">
        <v>584</v>
      </c>
      <c r="D585" s="33" t="s">
        <v>1589</v>
      </c>
      <c r="E585" s="15" t="s">
        <v>1590</v>
      </c>
      <c r="F585" s="12" t="s">
        <v>162</v>
      </c>
      <c r="G585" s="13" t="s">
        <v>1002</v>
      </c>
      <c r="H585" s="12" t="s">
        <v>1132</v>
      </c>
      <c r="I585" s="33" t="s">
        <v>542</v>
      </c>
      <c r="J585" s="13">
        <v>2008</v>
      </c>
      <c r="K585" s="13">
        <v>2011</v>
      </c>
      <c r="L585" s="13" t="s">
        <v>543</v>
      </c>
      <c r="M585" s="15"/>
      <c r="N585" s="12"/>
      <c r="O585" s="15" t="s">
        <v>604</v>
      </c>
      <c r="P585" s="13" t="s">
        <v>57</v>
      </c>
      <c r="Q585" s="30" t="s">
        <v>910</v>
      </c>
      <c r="R585" s="15" t="s">
        <v>23</v>
      </c>
      <c r="S585" s="28" t="s">
        <v>2629</v>
      </c>
      <c r="T585" s="12">
        <v>1</v>
      </c>
      <c r="U585" s="12" t="s">
        <v>2964</v>
      </c>
      <c r="V585" s="17" t="s">
        <v>3040</v>
      </c>
      <c r="W585" s="38" t="s">
        <v>1645</v>
      </c>
      <c r="X585" s="12" t="s">
        <v>1595</v>
      </c>
      <c r="Y585" s="17" t="s">
        <v>1646</v>
      </c>
      <c r="Z585" s="67"/>
      <c r="AA585" s="165" t="s">
        <v>2653</v>
      </c>
    </row>
    <row r="586" spans="1:27" s="59" customFormat="1" ht="70">
      <c r="A586" s="13" t="s">
        <v>547</v>
      </c>
      <c r="B586" s="13" t="s">
        <v>531</v>
      </c>
      <c r="C586" s="12">
        <v>585</v>
      </c>
      <c r="D586" s="33" t="s">
        <v>2187</v>
      </c>
      <c r="E586" s="16" t="s">
        <v>2188</v>
      </c>
      <c r="F586" s="13" t="s">
        <v>58</v>
      </c>
      <c r="G586" s="13" t="s">
        <v>796</v>
      </c>
      <c r="H586" s="13" t="s">
        <v>1132</v>
      </c>
      <c r="I586" s="14" t="s">
        <v>2189</v>
      </c>
      <c r="J586" s="13">
        <v>2019</v>
      </c>
      <c r="K586" s="13">
        <v>2023</v>
      </c>
      <c r="L586" s="16" t="s">
        <v>2190</v>
      </c>
      <c r="M586" s="16" t="s">
        <v>2493</v>
      </c>
      <c r="N586" s="16" t="s">
        <v>2009</v>
      </c>
      <c r="O586" s="15" t="s">
        <v>604</v>
      </c>
      <c r="P586" s="41" t="s">
        <v>57</v>
      </c>
      <c r="Q586" s="30" t="s">
        <v>901</v>
      </c>
      <c r="R586" s="15" t="s">
        <v>30</v>
      </c>
      <c r="S586" s="28" t="s">
        <v>2631</v>
      </c>
      <c r="T586" s="12">
        <v>0</v>
      </c>
      <c r="U586" s="12"/>
      <c r="V586" s="17"/>
      <c r="W586" s="38"/>
      <c r="X586" s="12"/>
      <c r="Y586" s="17"/>
      <c r="Z586" s="78"/>
      <c r="AA586" s="66"/>
    </row>
    <row r="587" spans="1:27" s="59" customFormat="1" ht="210">
      <c r="A587" s="13" t="s">
        <v>547</v>
      </c>
      <c r="B587" s="13" t="s">
        <v>531</v>
      </c>
      <c r="C587" s="12">
        <v>586</v>
      </c>
      <c r="D587" s="33" t="s">
        <v>2191</v>
      </c>
      <c r="E587" s="16" t="s">
        <v>2192</v>
      </c>
      <c r="F587" s="13" t="s">
        <v>58</v>
      </c>
      <c r="G587" s="13" t="s">
        <v>796</v>
      </c>
      <c r="H587" s="13" t="s">
        <v>164</v>
      </c>
      <c r="I587" s="14" t="s">
        <v>2193</v>
      </c>
      <c r="J587" s="13">
        <v>2024</v>
      </c>
      <c r="K587" s="13">
        <v>2025</v>
      </c>
      <c r="L587" s="16" t="s">
        <v>2194</v>
      </c>
      <c r="M587" s="16" t="s">
        <v>3074</v>
      </c>
      <c r="N587" s="16" t="s">
        <v>2009</v>
      </c>
      <c r="O587" s="15" t="s">
        <v>604</v>
      </c>
      <c r="P587" s="41" t="s">
        <v>57</v>
      </c>
      <c r="Q587" s="30" t="s">
        <v>901</v>
      </c>
      <c r="R587" s="15" t="s">
        <v>30</v>
      </c>
      <c r="S587" s="157" t="s">
        <v>2634</v>
      </c>
      <c r="T587" s="164">
        <v>3</v>
      </c>
      <c r="U587" s="162" t="s">
        <v>2725</v>
      </c>
      <c r="V587" s="163" t="s">
        <v>3041</v>
      </c>
      <c r="W587" s="172" t="s">
        <v>2717</v>
      </c>
      <c r="X587" s="162" t="s">
        <v>2715</v>
      </c>
      <c r="Y587" s="163" t="s">
        <v>2716</v>
      </c>
      <c r="Z587" s="56"/>
      <c r="AA587" s="66" t="s">
        <v>2794</v>
      </c>
    </row>
    <row r="588" spans="1:27" s="59" customFormat="1" ht="192.5">
      <c r="A588" s="13" t="s">
        <v>547</v>
      </c>
      <c r="B588" s="13" t="s">
        <v>759</v>
      </c>
      <c r="C588" s="12">
        <v>587</v>
      </c>
      <c r="D588" s="33" t="s">
        <v>1588</v>
      </c>
      <c r="E588" s="15" t="s">
        <v>1696</v>
      </c>
      <c r="F588" s="12" t="s">
        <v>58</v>
      </c>
      <c r="G588" s="13" t="s">
        <v>526</v>
      </c>
      <c r="H588" s="12" t="s">
        <v>1132</v>
      </c>
      <c r="I588" s="33" t="s">
        <v>760</v>
      </c>
      <c r="J588" s="12">
        <v>2017</v>
      </c>
      <c r="K588" s="13">
        <v>2019</v>
      </c>
      <c r="L588" s="13" t="s">
        <v>761</v>
      </c>
      <c r="M588" s="15"/>
      <c r="N588" s="12"/>
      <c r="O588" s="15" t="s">
        <v>604</v>
      </c>
      <c r="P588" s="61" t="s">
        <v>57</v>
      </c>
      <c r="Q588" s="30" t="s">
        <v>901</v>
      </c>
      <c r="R588" s="15" t="s">
        <v>30</v>
      </c>
      <c r="S588" s="28" t="s">
        <v>2631</v>
      </c>
      <c r="T588" s="12">
        <v>0</v>
      </c>
      <c r="U588" s="12"/>
      <c r="V588" s="17"/>
      <c r="W588" s="38"/>
      <c r="X588" s="12"/>
      <c r="Y588" s="17" t="s">
        <v>762</v>
      </c>
      <c r="Z588" s="78"/>
      <c r="AA588" s="165" t="s">
        <v>2653</v>
      </c>
    </row>
    <row r="589" spans="1:27" s="145" customFormat="1" ht="140">
      <c r="A589" s="13" t="s">
        <v>547</v>
      </c>
      <c r="B589" s="16" t="s">
        <v>531</v>
      </c>
      <c r="C589" s="12">
        <v>588</v>
      </c>
      <c r="D589" s="33" t="s">
        <v>1305</v>
      </c>
      <c r="E589" s="13" t="s">
        <v>1300</v>
      </c>
      <c r="F589" s="12" t="s">
        <v>58</v>
      </c>
      <c r="G589" s="13" t="s">
        <v>526</v>
      </c>
      <c r="H589" s="12" t="s">
        <v>1132</v>
      </c>
      <c r="I589" s="38" t="s">
        <v>546</v>
      </c>
      <c r="J589" s="12">
        <v>2018</v>
      </c>
      <c r="K589" s="12">
        <v>2020</v>
      </c>
      <c r="L589" s="15" t="s">
        <v>532</v>
      </c>
      <c r="M589" s="15" t="s">
        <v>2492</v>
      </c>
      <c r="N589" s="12"/>
      <c r="O589" s="15" t="s">
        <v>765</v>
      </c>
      <c r="P589" s="12" t="s">
        <v>57</v>
      </c>
      <c r="Q589" s="30" t="s">
        <v>901</v>
      </c>
      <c r="R589" s="15" t="s">
        <v>30</v>
      </c>
      <c r="S589" s="28" t="s">
        <v>2631</v>
      </c>
      <c r="T589" s="12">
        <v>0</v>
      </c>
      <c r="U589" s="12"/>
      <c r="V589" s="17"/>
      <c r="W589" s="38"/>
      <c r="X589" s="12"/>
      <c r="Y589" s="17"/>
      <c r="Z589" s="83"/>
      <c r="AA589" s="165" t="s">
        <v>2653</v>
      </c>
    </row>
    <row r="590" spans="1:27" s="146" customFormat="1" ht="105">
      <c r="A590" s="13" t="s">
        <v>547</v>
      </c>
      <c r="B590" s="16" t="s">
        <v>531</v>
      </c>
      <c r="C590" s="12">
        <v>589</v>
      </c>
      <c r="D590" s="38" t="s">
        <v>1304</v>
      </c>
      <c r="E590" s="15" t="s">
        <v>1299</v>
      </c>
      <c r="F590" s="12" t="s">
        <v>1306</v>
      </c>
      <c r="G590" s="13" t="s">
        <v>544</v>
      </c>
      <c r="H590" s="12" t="s">
        <v>1132</v>
      </c>
      <c r="I590" s="38" t="s">
        <v>545</v>
      </c>
      <c r="J590" s="12">
        <v>2020</v>
      </c>
      <c r="K590" s="12">
        <v>2022</v>
      </c>
      <c r="L590" s="15" t="s">
        <v>532</v>
      </c>
      <c r="M590" s="15" t="s">
        <v>2492</v>
      </c>
      <c r="N590" s="15" t="s">
        <v>3144</v>
      </c>
      <c r="O590" s="15" t="s">
        <v>765</v>
      </c>
      <c r="P590" s="12" t="s">
        <v>57</v>
      </c>
      <c r="Q590" s="30" t="s">
        <v>901</v>
      </c>
      <c r="R590" s="15" t="s">
        <v>30</v>
      </c>
      <c r="S590" s="28" t="s">
        <v>2631</v>
      </c>
      <c r="T590" s="12">
        <v>0</v>
      </c>
      <c r="U590" s="12"/>
      <c r="V590" s="17"/>
      <c r="W590" s="38"/>
      <c r="X590" s="12"/>
      <c r="Y590" s="17"/>
      <c r="Z590" s="83"/>
      <c r="AA590" s="66"/>
    </row>
    <row r="591" spans="1:27" s="146" customFormat="1" ht="70">
      <c r="A591" s="13" t="s">
        <v>547</v>
      </c>
      <c r="B591" s="13" t="s">
        <v>2410</v>
      </c>
      <c r="C591" s="12">
        <v>590</v>
      </c>
      <c r="D591" s="33" t="s">
        <v>2418</v>
      </c>
      <c r="E591" s="16" t="s">
        <v>2419</v>
      </c>
      <c r="F591" s="13" t="s">
        <v>58</v>
      </c>
      <c r="G591" s="13" t="s">
        <v>2569</v>
      </c>
      <c r="H591" s="13" t="s">
        <v>164</v>
      </c>
      <c r="I591" s="14" t="s">
        <v>2420</v>
      </c>
      <c r="J591" s="13">
        <v>2024</v>
      </c>
      <c r="K591" s="13">
        <v>2026</v>
      </c>
      <c r="L591" s="16" t="s">
        <v>2415</v>
      </c>
      <c r="M591" s="16" t="s">
        <v>2494</v>
      </c>
      <c r="N591" s="16"/>
      <c r="O591" s="15" t="s">
        <v>604</v>
      </c>
      <c r="P591" s="135" t="s">
        <v>57</v>
      </c>
      <c r="Q591" s="15" t="s">
        <v>901</v>
      </c>
      <c r="R591" s="15" t="s">
        <v>29</v>
      </c>
      <c r="S591" s="28" t="s">
        <v>2631</v>
      </c>
      <c r="T591" s="12">
        <v>0</v>
      </c>
      <c r="U591" s="12"/>
      <c r="V591" s="17"/>
      <c r="W591" s="38"/>
      <c r="X591" s="12"/>
      <c r="Y591" s="17"/>
      <c r="Z591" s="56"/>
      <c r="AA591" s="165" t="s">
        <v>2653</v>
      </c>
    </row>
    <row r="592" spans="1:27" s="146" customFormat="1" ht="70">
      <c r="A592" s="13" t="s">
        <v>547</v>
      </c>
      <c r="B592" s="31" t="s">
        <v>2410</v>
      </c>
      <c r="C592" s="12">
        <v>591</v>
      </c>
      <c r="D592" s="33" t="s">
        <v>2421</v>
      </c>
      <c r="E592" s="16"/>
      <c r="F592" s="13" t="s">
        <v>58</v>
      </c>
      <c r="G592" s="13" t="s">
        <v>2569</v>
      </c>
      <c r="H592" s="13" t="s">
        <v>408</v>
      </c>
      <c r="I592" s="14" t="s">
        <v>2422</v>
      </c>
      <c r="J592" s="13">
        <v>2024</v>
      </c>
      <c r="K592" s="13">
        <v>2027</v>
      </c>
      <c r="L592" s="16" t="s">
        <v>2415</v>
      </c>
      <c r="M592" s="16" t="s">
        <v>2494</v>
      </c>
      <c r="N592" s="16"/>
      <c r="O592" s="15" t="s">
        <v>604</v>
      </c>
      <c r="P592" s="135" t="s">
        <v>57</v>
      </c>
      <c r="Q592" s="15" t="s">
        <v>901</v>
      </c>
      <c r="R592" s="15" t="s">
        <v>29</v>
      </c>
      <c r="S592" s="28" t="s">
        <v>2631</v>
      </c>
      <c r="T592" s="12">
        <v>0</v>
      </c>
      <c r="U592" s="12"/>
      <c r="V592" s="17"/>
      <c r="W592" s="38"/>
      <c r="X592" s="12"/>
      <c r="Y592" s="17"/>
      <c r="Z592" s="27"/>
      <c r="AA592" s="165" t="s">
        <v>2653</v>
      </c>
    </row>
    <row r="593" spans="1:27" s="146" customFormat="1" ht="35">
      <c r="A593" s="13" t="s">
        <v>547</v>
      </c>
      <c r="B593" s="13" t="s">
        <v>2410</v>
      </c>
      <c r="C593" s="12">
        <v>592</v>
      </c>
      <c r="D593" s="33" t="s">
        <v>2423</v>
      </c>
      <c r="E593" s="16"/>
      <c r="F593" s="13" t="s">
        <v>58</v>
      </c>
      <c r="G593" s="13" t="s">
        <v>898</v>
      </c>
      <c r="H593" s="13" t="s">
        <v>408</v>
      </c>
      <c r="I593" s="14" t="s">
        <v>2424</v>
      </c>
      <c r="J593" s="13">
        <v>2024</v>
      </c>
      <c r="K593" s="13">
        <v>2027</v>
      </c>
      <c r="L593" s="16" t="s">
        <v>2415</v>
      </c>
      <c r="M593" s="16" t="s">
        <v>2494</v>
      </c>
      <c r="N593" s="16" t="s">
        <v>3126</v>
      </c>
      <c r="O593" s="15" t="s">
        <v>604</v>
      </c>
      <c r="P593" s="135" t="s">
        <v>57</v>
      </c>
      <c r="Q593" s="15" t="s">
        <v>901</v>
      </c>
      <c r="R593" s="15" t="s">
        <v>29</v>
      </c>
      <c r="S593" s="28" t="s">
        <v>2631</v>
      </c>
      <c r="T593" s="12">
        <v>0</v>
      </c>
      <c r="U593" s="12"/>
      <c r="V593" s="17"/>
      <c r="W593" s="38"/>
      <c r="X593" s="12"/>
      <c r="Y593" s="17"/>
      <c r="Z593" s="27"/>
      <c r="AA593" s="66"/>
    </row>
    <row r="594" spans="1:27" s="146" customFormat="1" ht="87.5">
      <c r="A594" s="13" t="s">
        <v>547</v>
      </c>
      <c r="B594" s="13" t="s">
        <v>2410</v>
      </c>
      <c r="C594" s="12">
        <v>593</v>
      </c>
      <c r="D594" s="33" t="s">
        <v>2411</v>
      </c>
      <c r="E594" s="16" t="s">
        <v>2412</v>
      </c>
      <c r="F594" s="13" t="s">
        <v>58</v>
      </c>
      <c r="G594" s="13" t="s">
        <v>898</v>
      </c>
      <c r="H594" s="13" t="s">
        <v>164</v>
      </c>
      <c r="I594" s="14" t="s">
        <v>2413</v>
      </c>
      <c r="J594" s="13">
        <v>2023</v>
      </c>
      <c r="K594" s="13">
        <v>2025</v>
      </c>
      <c r="L594" s="16" t="s">
        <v>2414</v>
      </c>
      <c r="M594" s="16" t="s">
        <v>2494</v>
      </c>
      <c r="N594" s="16" t="s">
        <v>3126</v>
      </c>
      <c r="O594" s="15" t="s">
        <v>604</v>
      </c>
      <c r="P594" s="155" t="s">
        <v>57</v>
      </c>
      <c r="Q594" s="15" t="s">
        <v>901</v>
      </c>
      <c r="R594" s="15" t="s">
        <v>29</v>
      </c>
      <c r="S594" s="28" t="s">
        <v>2629</v>
      </c>
      <c r="T594" s="12">
        <v>1</v>
      </c>
      <c r="U594" s="15" t="s">
        <v>2980</v>
      </c>
      <c r="V594" s="30" t="s">
        <v>3042</v>
      </c>
      <c r="W594" s="38" t="s">
        <v>2416</v>
      </c>
      <c r="X594" s="12" t="s">
        <v>895</v>
      </c>
      <c r="Y594" s="17" t="s">
        <v>2417</v>
      </c>
      <c r="Z594" s="27"/>
      <c r="AA594" s="66"/>
    </row>
    <row r="595" spans="1:27" s="67" customFormat="1" ht="140">
      <c r="A595" s="174" t="s">
        <v>2944</v>
      </c>
      <c r="B595" s="174" t="s">
        <v>3085</v>
      </c>
      <c r="C595" s="247" t="s">
        <v>2858</v>
      </c>
      <c r="D595" s="248" t="s">
        <v>3086</v>
      </c>
      <c r="E595" s="249" t="s">
        <v>3087</v>
      </c>
      <c r="F595" s="247" t="s">
        <v>93</v>
      </c>
      <c r="G595" s="247" t="s">
        <v>3088</v>
      </c>
      <c r="H595" s="247" t="s">
        <v>164</v>
      </c>
      <c r="I595" s="250" t="s">
        <v>3089</v>
      </c>
      <c r="J595" s="247">
        <v>2025</v>
      </c>
      <c r="K595" s="247">
        <v>2026</v>
      </c>
      <c r="L595" s="249" t="s">
        <v>337</v>
      </c>
      <c r="M595" s="249" t="s">
        <v>338</v>
      </c>
      <c r="N595" s="247"/>
      <c r="O595" s="162" t="s">
        <v>93</v>
      </c>
      <c r="P595" s="247" t="s">
        <v>57</v>
      </c>
      <c r="Q595" s="249" t="s">
        <v>901</v>
      </c>
      <c r="R595" s="163" t="s">
        <v>32</v>
      </c>
      <c r="S595" s="157" t="s">
        <v>2631</v>
      </c>
      <c r="T595" s="164">
        <v>0</v>
      </c>
      <c r="U595" s="12"/>
      <c r="V595" s="17"/>
      <c r="W595" s="38"/>
      <c r="X595" s="12"/>
      <c r="Y595" s="17"/>
      <c r="Z595" s="22"/>
      <c r="AA595" s="165" t="s">
        <v>2653</v>
      </c>
    </row>
    <row r="596" spans="1:27" ht="105">
      <c r="A596" s="174" t="s">
        <v>2944</v>
      </c>
      <c r="B596" s="174" t="s">
        <v>3085</v>
      </c>
      <c r="C596" s="247" t="s">
        <v>2858</v>
      </c>
      <c r="D596" s="248" t="s">
        <v>3090</v>
      </c>
      <c r="E596" s="249" t="s">
        <v>3091</v>
      </c>
      <c r="F596" s="247" t="s">
        <v>93</v>
      </c>
      <c r="G596" s="247" t="s">
        <v>3092</v>
      </c>
      <c r="H596" s="247" t="s">
        <v>164</v>
      </c>
      <c r="I596" s="250" t="s">
        <v>3093</v>
      </c>
      <c r="J596" s="247">
        <v>2025</v>
      </c>
      <c r="K596" s="247">
        <v>2027</v>
      </c>
      <c r="L596" s="249" t="s">
        <v>337</v>
      </c>
      <c r="M596" s="249" t="s">
        <v>338</v>
      </c>
      <c r="N596" s="247"/>
      <c r="O596" s="162" t="s">
        <v>93</v>
      </c>
      <c r="P596" s="247" t="s">
        <v>57</v>
      </c>
      <c r="Q596" s="249" t="s">
        <v>901</v>
      </c>
      <c r="R596" s="163" t="s">
        <v>32</v>
      </c>
      <c r="S596" s="157" t="s">
        <v>2631</v>
      </c>
      <c r="T596" s="164">
        <v>0</v>
      </c>
      <c r="U596" s="12"/>
      <c r="V596" s="17"/>
      <c r="W596" s="38"/>
      <c r="X596" s="12"/>
      <c r="Y596" s="17"/>
      <c r="AA596" s="165" t="s">
        <v>2653</v>
      </c>
    </row>
    <row r="597" spans="1:27" ht="70">
      <c r="A597" s="174" t="s">
        <v>55</v>
      </c>
      <c r="B597" s="174" t="s">
        <v>11</v>
      </c>
      <c r="C597" s="158" t="s">
        <v>2858</v>
      </c>
      <c r="D597" s="172" t="s">
        <v>2679</v>
      </c>
      <c r="E597" s="160" t="s">
        <v>2680</v>
      </c>
      <c r="F597" s="158" t="s">
        <v>58</v>
      </c>
      <c r="G597" s="158" t="s">
        <v>153</v>
      </c>
      <c r="H597" s="158" t="s">
        <v>2953</v>
      </c>
      <c r="I597" s="161" t="s">
        <v>2681</v>
      </c>
      <c r="J597" s="158">
        <v>2025</v>
      </c>
      <c r="K597" s="158">
        <v>2027</v>
      </c>
      <c r="L597" s="160" t="s">
        <v>2682</v>
      </c>
      <c r="M597" s="160" t="s">
        <v>2683</v>
      </c>
      <c r="N597" s="160" t="s">
        <v>3077</v>
      </c>
      <c r="O597" s="163" t="s">
        <v>59</v>
      </c>
      <c r="P597" s="158" t="s">
        <v>57</v>
      </c>
      <c r="Q597" s="160" t="s">
        <v>864</v>
      </c>
      <c r="R597" s="160" t="s">
        <v>93</v>
      </c>
      <c r="S597" s="157" t="s">
        <v>2642</v>
      </c>
      <c r="T597" s="12">
        <v>0</v>
      </c>
      <c r="U597" s="12"/>
      <c r="V597" s="17"/>
      <c r="W597" s="38"/>
      <c r="X597" s="12"/>
      <c r="Y597" s="17"/>
      <c r="AA597" s="66"/>
    </row>
    <row r="598" spans="1:27" ht="70">
      <c r="A598" s="157" t="s">
        <v>2559</v>
      </c>
      <c r="B598" s="157" t="s">
        <v>56</v>
      </c>
      <c r="C598" s="158" t="s">
        <v>2858</v>
      </c>
      <c r="D598" s="175" t="s">
        <v>2870</v>
      </c>
      <c r="E598" s="157" t="s">
        <v>2871</v>
      </c>
      <c r="F598" s="157" t="s">
        <v>58</v>
      </c>
      <c r="G598" s="157" t="s">
        <v>781</v>
      </c>
      <c r="H598" s="157" t="s">
        <v>164</v>
      </c>
      <c r="I598" s="163" t="s">
        <v>2872</v>
      </c>
      <c r="J598" s="157">
        <v>2025</v>
      </c>
      <c r="K598" s="157">
        <v>2027</v>
      </c>
      <c r="L598" s="157" t="s">
        <v>2238</v>
      </c>
      <c r="M598" s="157" t="s">
        <v>2239</v>
      </c>
      <c r="N598" s="157" t="s">
        <v>1183</v>
      </c>
      <c r="O598" s="162" t="s">
        <v>604</v>
      </c>
      <c r="P598" s="157" t="s">
        <v>57</v>
      </c>
      <c r="Q598" s="163" t="s">
        <v>925</v>
      </c>
      <c r="R598" s="163" t="s">
        <v>26</v>
      </c>
      <c r="S598" s="157" t="s">
        <v>2634</v>
      </c>
      <c r="T598" s="157">
        <v>1</v>
      </c>
      <c r="U598" s="157"/>
      <c r="V598" s="157" t="s">
        <v>2632</v>
      </c>
      <c r="W598" s="175" t="s">
        <v>2632</v>
      </c>
      <c r="X598" s="157" t="s">
        <v>2632</v>
      </c>
      <c r="Y598" s="157" t="s">
        <v>2873</v>
      </c>
      <c r="Z598" s="57" t="s">
        <v>2240</v>
      </c>
      <c r="AA598" s="167"/>
    </row>
    <row r="599" spans="1:27" ht="52.5">
      <c r="A599" s="157" t="s">
        <v>2559</v>
      </c>
      <c r="B599" s="157" t="s">
        <v>56</v>
      </c>
      <c r="C599" s="158" t="s">
        <v>2858</v>
      </c>
      <c r="D599" s="175" t="s">
        <v>2874</v>
      </c>
      <c r="E599" s="157" t="s">
        <v>2875</v>
      </c>
      <c r="F599" s="157" t="s">
        <v>224</v>
      </c>
      <c r="G599" s="157" t="s">
        <v>798</v>
      </c>
      <c r="H599" s="157" t="s">
        <v>389</v>
      </c>
      <c r="I599" s="163" t="s">
        <v>2876</v>
      </c>
      <c r="J599" s="157">
        <v>2025</v>
      </c>
      <c r="K599" s="157">
        <v>2028</v>
      </c>
      <c r="L599" s="157" t="s">
        <v>2877</v>
      </c>
      <c r="M599" s="157" t="s">
        <v>2239</v>
      </c>
      <c r="N599" s="157"/>
      <c r="O599" s="163" t="s">
        <v>59</v>
      </c>
      <c r="P599" s="157" t="s">
        <v>57</v>
      </c>
      <c r="Q599" s="162" t="s">
        <v>859</v>
      </c>
      <c r="R599" s="162" t="s">
        <v>860</v>
      </c>
      <c r="S599" s="157" t="s">
        <v>2631</v>
      </c>
      <c r="T599" s="157"/>
      <c r="U599" s="157"/>
      <c r="V599" s="157"/>
      <c r="W599" s="175"/>
      <c r="X599" s="157"/>
      <c r="Y599" s="157"/>
      <c r="Z599" s="57"/>
      <c r="AA599" s="165" t="s">
        <v>2653</v>
      </c>
    </row>
    <row r="600" spans="1:27" ht="70">
      <c r="A600" s="157" t="s">
        <v>2559</v>
      </c>
      <c r="B600" s="157" t="s">
        <v>11</v>
      </c>
      <c r="C600" s="158" t="s">
        <v>2858</v>
      </c>
      <c r="D600" s="159" t="s">
        <v>2654</v>
      </c>
      <c r="E600" s="160" t="s">
        <v>2655</v>
      </c>
      <c r="F600" s="158" t="s">
        <v>58</v>
      </c>
      <c r="G600" s="164" t="s">
        <v>2690</v>
      </c>
      <c r="H600" s="158" t="s">
        <v>164</v>
      </c>
      <c r="I600" s="161" t="s">
        <v>2656</v>
      </c>
      <c r="J600" s="158">
        <v>2025</v>
      </c>
      <c r="K600" s="158">
        <v>2026</v>
      </c>
      <c r="L600" s="160" t="s">
        <v>2657</v>
      </c>
      <c r="M600" s="162" t="s">
        <v>167</v>
      </c>
      <c r="N600" s="163" t="s">
        <v>2658</v>
      </c>
      <c r="O600" s="163" t="s">
        <v>59</v>
      </c>
      <c r="P600" s="164" t="s">
        <v>57</v>
      </c>
      <c r="Q600" s="160" t="s">
        <v>863</v>
      </c>
      <c r="R600" s="162" t="s">
        <v>25</v>
      </c>
      <c r="S600" s="157" t="s">
        <v>2631</v>
      </c>
      <c r="T600" s="12">
        <v>0</v>
      </c>
      <c r="U600" s="12"/>
      <c r="V600" s="17"/>
      <c r="W600" s="38"/>
      <c r="X600" s="12"/>
      <c r="Y600" s="17"/>
      <c r="AA600" s="66"/>
    </row>
    <row r="601" spans="1:27" ht="52.5">
      <c r="A601" s="157" t="s">
        <v>2559</v>
      </c>
      <c r="B601" s="157" t="s">
        <v>11</v>
      </c>
      <c r="C601" s="158" t="s">
        <v>2858</v>
      </c>
      <c r="D601" s="159" t="s">
        <v>2670</v>
      </c>
      <c r="E601" s="160" t="s">
        <v>2671</v>
      </c>
      <c r="F601" s="158" t="s">
        <v>58</v>
      </c>
      <c r="G601" s="158" t="s">
        <v>2661</v>
      </c>
      <c r="H601" s="158" t="s">
        <v>408</v>
      </c>
      <c r="I601" s="161" t="s">
        <v>2672</v>
      </c>
      <c r="J601" s="158">
        <v>2025</v>
      </c>
      <c r="K601" s="158">
        <v>2027</v>
      </c>
      <c r="L601" s="160" t="s">
        <v>2673</v>
      </c>
      <c r="M601" s="162" t="s">
        <v>167</v>
      </c>
      <c r="N601" s="163" t="s">
        <v>2664</v>
      </c>
      <c r="O601" s="162" t="s">
        <v>93</v>
      </c>
      <c r="P601" s="158" t="s">
        <v>538</v>
      </c>
      <c r="Q601" s="163" t="s">
        <v>1153</v>
      </c>
      <c r="R601" s="162" t="s">
        <v>22</v>
      </c>
      <c r="S601" s="157" t="s">
        <v>2631</v>
      </c>
      <c r="T601" s="12">
        <v>0</v>
      </c>
      <c r="U601" s="12"/>
      <c r="V601" s="17"/>
      <c r="W601" s="38"/>
      <c r="X601" s="12"/>
      <c r="Y601" s="17"/>
      <c r="AA601" s="66"/>
    </row>
    <row r="602" spans="1:27" ht="70">
      <c r="A602" s="157" t="s">
        <v>2559</v>
      </c>
      <c r="B602" s="157" t="s">
        <v>11</v>
      </c>
      <c r="C602" s="158" t="s">
        <v>2858</v>
      </c>
      <c r="D602" s="159" t="s">
        <v>2665</v>
      </c>
      <c r="E602" s="160" t="s">
        <v>2666</v>
      </c>
      <c r="F602" s="158" t="s">
        <v>58</v>
      </c>
      <c r="G602" s="158" t="s">
        <v>2661</v>
      </c>
      <c r="H602" s="158" t="s">
        <v>408</v>
      </c>
      <c r="I602" s="161" t="s">
        <v>2667</v>
      </c>
      <c r="J602" s="158">
        <v>2025</v>
      </c>
      <c r="K602" s="158">
        <v>2027</v>
      </c>
      <c r="L602" s="160" t="s">
        <v>2668</v>
      </c>
      <c r="M602" s="162" t="s">
        <v>2669</v>
      </c>
      <c r="N602" s="163" t="s">
        <v>2664</v>
      </c>
      <c r="O602" s="162" t="s">
        <v>93</v>
      </c>
      <c r="P602" s="158" t="s">
        <v>538</v>
      </c>
      <c r="Q602" s="163" t="s">
        <v>1153</v>
      </c>
      <c r="R602" s="162" t="s">
        <v>22</v>
      </c>
      <c r="S602" s="157" t="s">
        <v>2631</v>
      </c>
      <c r="T602" s="12">
        <v>0</v>
      </c>
      <c r="U602" s="12"/>
      <c r="V602" s="17"/>
      <c r="W602" s="38"/>
      <c r="X602" s="12"/>
      <c r="Y602" s="17"/>
      <c r="AA602" s="66"/>
    </row>
    <row r="603" spans="1:27" ht="87.5">
      <c r="A603" s="174" t="s">
        <v>55</v>
      </c>
      <c r="B603" s="174" t="s">
        <v>3079</v>
      </c>
      <c r="C603" s="247" t="s">
        <v>2858</v>
      </c>
      <c r="D603" s="248" t="s">
        <v>3083</v>
      </c>
      <c r="E603" s="249" t="s">
        <v>3082</v>
      </c>
      <c r="F603" s="247" t="s">
        <v>58</v>
      </c>
      <c r="G603" s="247" t="s">
        <v>259</v>
      </c>
      <c r="H603" s="247" t="s">
        <v>389</v>
      </c>
      <c r="I603" s="250" t="s">
        <v>3102</v>
      </c>
      <c r="J603" s="247">
        <v>2025</v>
      </c>
      <c r="K603" s="247">
        <v>2028</v>
      </c>
      <c r="L603" s="249" t="s">
        <v>3097</v>
      </c>
      <c r="M603" s="249" t="s">
        <v>3081</v>
      </c>
      <c r="N603" s="247"/>
      <c r="O603" s="162" t="s">
        <v>604</v>
      </c>
      <c r="P603" s="247" t="s">
        <v>57</v>
      </c>
      <c r="Q603" s="163" t="s">
        <v>906</v>
      </c>
      <c r="R603" s="249" t="s">
        <v>1712</v>
      </c>
      <c r="S603" s="157" t="s">
        <v>2631</v>
      </c>
      <c r="T603" s="164">
        <v>0</v>
      </c>
      <c r="U603" s="164"/>
      <c r="V603" s="157"/>
      <c r="W603" s="172"/>
      <c r="X603" s="164"/>
      <c r="Y603" s="157"/>
      <c r="AA603" s="165" t="s">
        <v>2653</v>
      </c>
    </row>
    <row r="604" spans="1:27" ht="105">
      <c r="A604" s="174" t="s">
        <v>2559</v>
      </c>
      <c r="B604" s="174" t="s">
        <v>11</v>
      </c>
      <c r="C604" s="158" t="s">
        <v>2858</v>
      </c>
      <c r="D604" s="301" t="s">
        <v>1053</v>
      </c>
      <c r="E604" s="160" t="s">
        <v>2878</v>
      </c>
      <c r="F604" s="158" t="s">
        <v>1930</v>
      </c>
      <c r="G604" s="158" t="s">
        <v>1055</v>
      </c>
      <c r="H604" s="158" t="s">
        <v>54</v>
      </c>
      <c r="I604" s="161" t="s">
        <v>2879</v>
      </c>
      <c r="J604" s="158">
        <v>2024</v>
      </c>
      <c r="K604" s="158">
        <v>2026</v>
      </c>
      <c r="L604" s="160" t="s">
        <v>1275</v>
      </c>
      <c r="M604" s="160"/>
      <c r="N604" s="158"/>
      <c r="O604" s="163" t="s">
        <v>59</v>
      </c>
      <c r="P604" s="157" t="s">
        <v>57</v>
      </c>
      <c r="Q604" s="163" t="s">
        <v>891</v>
      </c>
      <c r="R604" s="162" t="s">
        <v>892</v>
      </c>
      <c r="S604" s="157" t="s">
        <v>2629</v>
      </c>
      <c r="T604" s="164">
        <v>1</v>
      </c>
      <c r="U604" s="164" t="s">
        <v>1781</v>
      </c>
      <c r="V604" s="157" t="s">
        <v>2880</v>
      </c>
      <c r="W604" s="172" t="s">
        <v>2881</v>
      </c>
      <c r="X604" s="164" t="s">
        <v>2970</v>
      </c>
      <c r="Y604" s="157" t="s">
        <v>1275</v>
      </c>
      <c r="Z604"/>
      <c r="AA604" s="165" t="s">
        <v>2653</v>
      </c>
    </row>
    <row r="605" spans="1:27" ht="52.5">
      <c r="A605" s="174" t="s">
        <v>2559</v>
      </c>
      <c r="B605" s="174" t="s">
        <v>11</v>
      </c>
      <c r="C605" s="158" t="s">
        <v>2858</v>
      </c>
      <c r="D605" s="159" t="s">
        <v>1053</v>
      </c>
      <c r="E605" s="160" t="s">
        <v>2878</v>
      </c>
      <c r="F605" s="158" t="s">
        <v>1930</v>
      </c>
      <c r="G605" s="158" t="s">
        <v>1055</v>
      </c>
      <c r="H605" s="158" t="s">
        <v>54</v>
      </c>
      <c r="I605" s="161" t="s">
        <v>2879</v>
      </c>
      <c r="J605" s="158">
        <v>2025</v>
      </c>
      <c r="K605" s="158">
        <v>2026</v>
      </c>
      <c r="L605" s="160" t="s">
        <v>1275</v>
      </c>
      <c r="M605" s="160"/>
      <c r="N605" s="158"/>
      <c r="O605" s="163" t="s">
        <v>59</v>
      </c>
      <c r="P605" s="157" t="s">
        <v>57</v>
      </c>
      <c r="Q605" s="163" t="s">
        <v>891</v>
      </c>
      <c r="R605" s="272" t="s">
        <v>892</v>
      </c>
      <c r="S605" s="157" t="s">
        <v>2629</v>
      </c>
      <c r="T605" s="164">
        <v>1</v>
      </c>
      <c r="U605" s="164" t="s">
        <v>1781</v>
      </c>
      <c r="V605" s="157" t="s">
        <v>2882</v>
      </c>
      <c r="W605" s="172" t="s">
        <v>2883</v>
      </c>
      <c r="X605" s="164" t="s">
        <v>2884</v>
      </c>
      <c r="Y605" s="157" t="s">
        <v>1275</v>
      </c>
      <c r="Z605"/>
      <c r="AA605" s="165" t="s">
        <v>2653</v>
      </c>
    </row>
    <row r="606" spans="1:27" ht="140">
      <c r="A606" s="157" t="s">
        <v>2559</v>
      </c>
      <c r="B606" s="157" t="s">
        <v>56</v>
      </c>
      <c r="C606" s="158" t="s">
        <v>2858</v>
      </c>
      <c r="D606" s="175" t="s">
        <v>2892</v>
      </c>
      <c r="E606" s="215" t="s">
        <v>2893</v>
      </c>
      <c r="F606" s="157" t="s">
        <v>93</v>
      </c>
      <c r="G606" s="157" t="s">
        <v>2210</v>
      </c>
      <c r="H606" s="157" t="s">
        <v>1132</v>
      </c>
      <c r="I606" s="163" t="s">
        <v>2894</v>
      </c>
      <c r="J606" s="157">
        <v>2024</v>
      </c>
      <c r="K606" s="157">
        <v>2025</v>
      </c>
      <c r="L606" s="163" t="s">
        <v>2175</v>
      </c>
      <c r="M606" s="163" t="s">
        <v>2176</v>
      </c>
      <c r="N606" s="157"/>
      <c r="O606" s="163" t="s">
        <v>59</v>
      </c>
      <c r="P606" s="157" t="s">
        <v>57</v>
      </c>
      <c r="Q606" s="163" t="s">
        <v>910</v>
      </c>
      <c r="R606" s="163" t="s">
        <v>23</v>
      </c>
      <c r="S606" s="157" t="s">
        <v>2631</v>
      </c>
      <c r="T606" s="12"/>
      <c r="U606" s="12"/>
      <c r="V606" s="17"/>
      <c r="W606" s="38"/>
      <c r="X606" s="12"/>
      <c r="Y606" s="17"/>
      <c r="Z606"/>
      <c r="AA606" s="165" t="s">
        <v>2653</v>
      </c>
    </row>
    <row r="607" spans="1:27" ht="70">
      <c r="A607" s="174" t="s">
        <v>55</v>
      </c>
      <c r="B607" s="174" t="s">
        <v>3079</v>
      </c>
      <c r="C607" s="247" t="s">
        <v>2858</v>
      </c>
      <c r="D607" s="248" t="s">
        <v>3101</v>
      </c>
      <c r="E607" s="249" t="s">
        <v>3096</v>
      </c>
      <c r="F607" s="247" t="s">
        <v>58</v>
      </c>
      <c r="G607" s="247" t="s">
        <v>259</v>
      </c>
      <c r="H607" s="247" t="s">
        <v>389</v>
      </c>
      <c r="I607" s="250" t="s">
        <v>3103</v>
      </c>
      <c r="J607" s="247">
        <v>2026</v>
      </c>
      <c r="K607" s="247">
        <v>2029</v>
      </c>
      <c r="L607" s="249" t="s">
        <v>3098</v>
      </c>
      <c r="M607" s="249"/>
      <c r="N607" s="247"/>
      <c r="O607" s="162" t="s">
        <v>604</v>
      </c>
      <c r="P607" s="247" t="s">
        <v>57</v>
      </c>
      <c r="Q607" s="163" t="s">
        <v>906</v>
      </c>
      <c r="R607" s="249" t="s">
        <v>1712</v>
      </c>
      <c r="S607" s="157" t="s">
        <v>2631</v>
      </c>
      <c r="T607" s="164">
        <v>0</v>
      </c>
      <c r="U607" s="164"/>
      <c r="V607" s="157"/>
      <c r="W607" s="172"/>
      <c r="X607" s="164"/>
      <c r="Y607" s="157"/>
      <c r="AA607" s="165" t="s">
        <v>3116</v>
      </c>
    </row>
    <row r="608" spans="1:27" ht="87.5">
      <c r="A608" s="174" t="s">
        <v>2559</v>
      </c>
      <c r="B608" s="174" t="s">
        <v>11</v>
      </c>
      <c r="C608" s="158" t="s">
        <v>2858</v>
      </c>
      <c r="D608" s="159" t="s">
        <v>2885</v>
      </c>
      <c r="E608" s="160" t="s">
        <v>2886</v>
      </c>
      <c r="F608" s="158" t="s">
        <v>1930</v>
      </c>
      <c r="G608" s="158" t="s">
        <v>2887</v>
      </c>
      <c r="H608" s="158" t="s">
        <v>54</v>
      </c>
      <c r="I608" s="161" t="s">
        <v>2888</v>
      </c>
      <c r="J608" s="158">
        <v>2024</v>
      </c>
      <c r="K608" s="158">
        <v>2025</v>
      </c>
      <c r="L608" s="160" t="s">
        <v>2889</v>
      </c>
      <c r="M608" s="160"/>
      <c r="N608" s="158"/>
      <c r="O608" s="163" t="s">
        <v>59</v>
      </c>
      <c r="P608" s="157" t="s">
        <v>57</v>
      </c>
      <c r="Q608" s="163" t="s">
        <v>891</v>
      </c>
      <c r="R608" s="163" t="s">
        <v>892</v>
      </c>
      <c r="S608" s="157" t="s">
        <v>2629</v>
      </c>
      <c r="T608" s="164">
        <v>1</v>
      </c>
      <c r="U608" s="164" t="s">
        <v>1781</v>
      </c>
      <c r="V608" s="157" t="s">
        <v>2890</v>
      </c>
      <c r="W608" s="172" t="s">
        <v>2891</v>
      </c>
      <c r="X608" s="164" t="s">
        <v>2970</v>
      </c>
      <c r="Y608" s="157" t="s">
        <v>2889</v>
      </c>
      <c r="Z608"/>
      <c r="AA608" s="165" t="s">
        <v>2653</v>
      </c>
    </row>
    <row r="609" spans="1:27" ht="87.5">
      <c r="A609" s="174" t="s">
        <v>55</v>
      </c>
      <c r="B609" s="174" t="s">
        <v>3079</v>
      </c>
      <c r="C609" s="247" t="s">
        <v>2858</v>
      </c>
      <c r="D609" s="248" t="s">
        <v>3084</v>
      </c>
      <c r="E609" s="249" t="s">
        <v>3095</v>
      </c>
      <c r="F609" s="247" t="s">
        <v>58</v>
      </c>
      <c r="G609" s="247" t="s">
        <v>259</v>
      </c>
      <c r="H609" s="247" t="s">
        <v>389</v>
      </c>
      <c r="I609" s="250" t="s">
        <v>3104</v>
      </c>
      <c r="J609" s="247">
        <v>2025</v>
      </c>
      <c r="K609" s="247">
        <v>2028</v>
      </c>
      <c r="L609" s="249" t="s">
        <v>3099</v>
      </c>
      <c r="M609" s="249" t="s">
        <v>3100</v>
      </c>
      <c r="N609" s="247"/>
      <c r="O609" s="162" t="s">
        <v>604</v>
      </c>
      <c r="P609" s="247" t="s">
        <v>57</v>
      </c>
      <c r="Q609" s="163" t="s">
        <v>906</v>
      </c>
      <c r="R609" s="249" t="s">
        <v>1712</v>
      </c>
      <c r="S609" s="157" t="s">
        <v>2631</v>
      </c>
      <c r="T609" s="164">
        <v>0</v>
      </c>
      <c r="U609" s="164"/>
      <c r="V609" s="157"/>
      <c r="W609" s="172"/>
      <c r="X609" s="164"/>
      <c r="Y609" s="157"/>
      <c r="AA609" s="165" t="s">
        <v>2653</v>
      </c>
    </row>
    <row r="610" spans="1:27" ht="52.5">
      <c r="A610" s="157" t="s">
        <v>2559</v>
      </c>
      <c r="B610" s="287" t="s">
        <v>11</v>
      </c>
      <c r="C610" s="158" t="s">
        <v>2858</v>
      </c>
      <c r="D610" s="295" t="s">
        <v>2637</v>
      </c>
      <c r="E610" s="160" t="s">
        <v>2638</v>
      </c>
      <c r="F610" s="158" t="s">
        <v>58</v>
      </c>
      <c r="G610" s="259" t="s">
        <v>898</v>
      </c>
      <c r="H610" s="158" t="s">
        <v>54</v>
      </c>
      <c r="I610" s="161" t="s">
        <v>2639</v>
      </c>
      <c r="J610" s="158">
        <v>2025</v>
      </c>
      <c r="K610" s="158">
        <v>2028</v>
      </c>
      <c r="L610" s="160" t="s">
        <v>2640</v>
      </c>
      <c r="M610" s="162" t="s">
        <v>905</v>
      </c>
      <c r="N610" s="163" t="s">
        <v>2641</v>
      </c>
      <c r="O610" s="163" t="s">
        <v>59</v>
      </c>
      <c r="P610" s="329" t="s">
        <v>57</v>
      </c>
      <c r="Q610" s="163" t="s">
        <v>906</v>
      </c>
      <c r="R610" s="249" t="s">
        <v>1712</v>
      </c>
      <c r="S610" s="157" t="s">
        <v>2642</v>
      </c>
      <c r="T610" s="12">
        <v>0</v>
      </c>
      <c r="U610" s="12"/>
      <c r="V610" s="13"/>
      <c r="W610" s="38"/>
      <c r="X610" s="12"/>
      <c r="Y610" s="13"/>
      <c r="Z610"/>
      <c r="AA610" s="66"/>
    </row>
    <row r="611" spans="1:27" ht="70">
      <c r="A611" s="174" t="s">
        <v>55</v>
      </c>
      <c r="B611" s="291" t="s">
        <v>56</v>
      </c>
      <c r="C611" s="158" t="s">
        <v>2858</v>
      </c>
      <c r="D611" s="159" t="s">
        <v>2674</v>
      </c>
      <c r="E611" s="160" t="s">
        <v>2675</v>
      </c>
      <c r="F611" s="158" t="s">
        <v>58</v>
      </c>
      <c r="G611" s="259" t="s">
        <v>2676</v>
      </c>
      <c r="H611" s="158" t="s">
        <v>164</v>
      </c>
      <c r="I611" s="161" t="s">
        <v>2677</v>
      </c>
      <c r="J611" s="158">
        <v>2025</v>
      </c>
      <c r="K611" s="158">
        <v>2027</v>
      </c>
      <c r="L611" s="160" t="s">
        <v>2678</v>
      </c>
      <c r="M611" s="160" t="s">
        <v>3066</v>
      </c>
      <c r="N611" s="160" t="s">
        <v>3077</v>
      </c>
      <c r="O611" s="162" t="s">
        <v>93</v>
      </c>
      <c r="P611" s="259" t="s">
        <v>57</v>
      </c>
      <c r="Q611" s="160" t="s">
        <v>858</v>
      </c>
      <c r="R611" s="162" t="s">
        <v>37</v>
      </c>
      <c r="S611" s="157" t="s">
        <v>2631</v>
      </c>
      <c r="T611" s="12">
        <v>0</v>
      </c>
      <c r="U611" s="12"/>
      <c r="V611" s="17"/>
      <c r="W611" s="38"/>
      <c r="X611" s="12"/>
      <c r="Y611" s="17"/>
      <c r="AA611" s="66"/>
    </row>
    <row r="612" spans="1:27" ht="52.5">
      <c r="A612" s="157" t="s">
        <v>2559</v>
      </c>
      <c r="B612" s="287" t="s">
        <v>11</v>
      </c>
      <c r="C612" s="158" t="s">
        <v>2858</v>
      </c>
      <c r="D612" s="159" t="s">
        <v>2659</v>
      </c>
      <c r="E612" s="160" t="s">
        <v>2660</v>
      </c>
      <c r="F612" s="158" t="s">
        <v>58</v>
      </c>
      <c r="G612" s="259" t="s">
        <v>2661</v>
      </c>
      <c r="H612" s="158" t="s">
        <v>408</v>
      </c>
      <c r="I612" s="161" t="s">
        <v>2662</v>
      </c>
      <c r="J612" s="158">
        <v>2025</v>
      </c>
      <c r="K612" s="158">
        <v>2027</v>
      </c>
      <c r="L612" s="160" t="s">
        <v>2663</v>
      </c>
      <c r="M612" s="162" t="s">
        <v>842</v>
      </c>
      <c r="N612" s="163" t="s">
        <v>2664</v>
      </c>
      <c r="O612" s="162" t="s">
        <v>93</v>
      </c>
      <c r="P612" s="329" t="s">
        <v>538</v>
      </c>
      <c r="Q612" s="163" t="s">
        <v>1153</v>
      </c>
      <c r="R612" s="162" t="s">
        <v>22</v>
      </c>
      <c r="S612" s="157" t="s">
        <v>2631</v>
      </c>
      <c r="T612" s="12">
        <v>0</v>
      </c>
      <c r="U612" s="12"/>
      <c r="V612" s="17"/>
      <c r="W612" s="38"/>
      <c r="X612" s="12"/>
      <c r="Y612" s="17"/>
      <c r="AA612" s="66"/>
    </row>
    <row r="613" spans="1:27" ht="52.5">
      <c r="A613" s="157" t="s">
        <v>2559</v>
      </c>
      <c r="B613" s="287" t="s">
        <v>56</v>
      </c>
      <c r="C613" s="158" t="s">
        <v>2858</v>
      </c>
      <c r="D613" s="175" t="s">
        <v>2704</v>
      </c>
      <c r="E613" s="163" t="s">
        <v>2705</v>
      </c>
      <c r="F613" s="157" t="s">
        <v>58</v>
      </c>
      <c r="G613" s="289" t="s">
        <v>2706</v>
      </c>
      <c r="H613" s="157" t="s">
        <v>164</v>
      </c>
      <c r="I613" s="177" t="s">
        <v>2707</v>
      </c>
      <c r="J613" s="157">
        <v>2025</v>
      </c>
      <c r="K613" s="157">
        <v>2027</v>
      </c>
      <c r="L613" s="163" t="s">
        <v>248</v>
      </c>
      <c r="M613" s="163" t="s">
        <v>2033</v>
      </c>
      <c r="N613" s="163" t="s">
        <v>2700</v>
      </c>
      <c r="O613" s="163" t="s">
        <v>59</v>
      </c>
      <c r="P613" s="289" t="s">
        <v>57</v>
      </c>
      <c r="Q613" s="162" t="s">
        <v>859</v>
      </c>
      <c r="R613" s="162" t="s">
        <v>860</v>
      </c>
      <c r="S613" s="157" t="s">
        <v>2631</v>
      </c>
      <c r="T613" s="12">
        <v>0</v>
      </c>
      <c r="U613" s="12"/>
      <c r="V613" s="17"/>
      <c r="W613" s="38"/>
      <c r="X613" s="12"/>
      <c r="Y613" s="17"/>
      <c r="AA613" s="66" t="s">
        <v>2794</v>
      </c>
    </row>
    <row r="614" spans="1:27" ht="52.5">
      <c r="A614" s="157" t="s">
        <v>2559</v>
      </c>
      <c r="B614" s="289" t="s">
        <v>56</v>
      </c>
      <c r="C614" s="158" t="s">
        <v>2858</v>
      </c>
      <c r="D614" s="175" t="s">
        <v>2708</v>
      </c>
      <c r="E614" s="163" t="s">
        <v>2709</v>
      </c>
      <c r="F614" s="157" t="s">
        <v>58</v>
      </c>
      <c r="G614" s="157" t="s">
        <v>2706</v>
      </c>
      <c r="H614" s="157" t="s">
        <v>164</v>
      </c>
      <c r="I614" s="177" t="s">
        <v>2707</v>
      </c>
      <c r="J614" s="157">
        <v>2025</v>
      </c>
      <c r="K614" s="157">
        <v>2027</v>
      </c>
      <c r="L614" s="163" t="s">
        <v>248</v>
      </c>
      <c r="M614" s="163" t="s">
        <v>2033</v>
      </c>
      <c r="N614" s="163" t="s">
        <v>2700</v>
      </c>
      <c r="O614" s="163" t="s">
        <v>59</v>
      </c>
      <c r="P614" s="157" t="s">
        <v>57</v>
      </c>
      <c r="Q614" s="162" t="s">
        <v>859</v>
      </c>
      <c r="R614" s="162" t="s">
        <v>860</v>
      </c>
      <c r="S614" s="157" t="s">
        <v>2631</v>
      </c>
      <c r="T614" s="12">
        <v>0</v>
      </c>
      <c r="U614" s="12"/>
      <c r="V614" s="17"/>
      <c r="W614" s="38"/>
      <c r="X614" s="12"/>
      <c r="Y614" s="17"/>
      <c r="AA614" s="66"/>
    </row>
    <row r="615" spans="1:27" ht="52.5">
      <c r="A615" s="157" t="s">
        <v>2559</v>
      </c>
      <c r="B615" s="289" t="s">
        <v>56</v>
      </c>
      <c r="C615" s="158" t="s">
        <v>2858</v>
      </c>
      <c r="D615" s="175" t="s">
        <v>2710</v>
      </c>
      <c r="E615" s="163" t="s">
        <v>2711</v>
      </c>
      <c r="F615" s="157" t="s">
        <v>58</v>
      </c>
      <c r="G615" s="157" t="s">
        <v>2712</v>
      </c>
      <c r="H615" s="157" t="s">
        <v>164</v>
      </c>
      <c r="I615" s="177" t="s">
        <v>2707</v>
      </c>
      <c r="J615" s="157">
        <v>2025</v>
      </c>
      <c r="K615" s="157">
        <v>2027</v>
      </c>
      <c r="L615" s="163" t="s">
        <v>248</v>
      </c>
      <c r="M615" s="163" t="s">
        <v>2033</v>
      </c>
      <c r="N615" s="163" t="s">
        <v>2713</v>
      </c>
      <c r="O615" s="163" t="s">
        <v>59</v>
      </c>
      <c r="P615" s="157" t="s">
        <v>57</v>
      </c>
      <c r="Q615" s="162" t="s">
        <v>859</v>
      </c>
      <c r="R615" s="162" t="s">
        <v>860</v>
      </c>
      <c r="S615" s="157" t="s">
        <v>2631</v>
      </c>
      <c r="T615" s="12">
        <v>0</v>
      </c>
      <c r="U615" s="12"/>
      <c r="V615" s="17"/>
      <c r="W615" s="38"/>
      <c r="X615" s="12"/>
      <c r="Y615" s="17"/>
      <c r="AA615" s="56" t="s">
        <v>2794</v>
      </c>
    </row>
    <row r="616" spans="1:27" ht="52.5">
      <c r="A616" s="157" t="s">
        <v>2559</v>
      </c>
      <c r="B616" s="290" t="s">
        <v>56</v>
      </c>
      <c r="C616" s="158" t="s">
        <v>2858</v>
      </c>
      <c r="D616" s="295" t="s">
        <v>2650</v>
      </c>
      <c r="E616" s="160" t="s">
        <v>2651</v>
      </c>
      <c r="F616" s="157" t="s">
        <v>58</v>
      </c>
      <c r="G616" s="328" t="s">
        <v>259</v>
      </c>
      <c r="H616" s="158" t="s">
        <v>164</v>
      </c>
      <c r="I616" s="263" t="s">
        <v>2652</v>
      </c>
      <c r="J616" s="158">
        <v>2023</v>
      </c>
      <c r="K616" s="259">
        <v>2025</v>
      </c>
      <c r="L616" s="267" t="s">
        <v>2648</v>
      </c>
      <c r="M616" s="173" t="s">
        <v>415</v>
      </c>
      <c r="N616" s="163" t="s">
        <v>2641</v>
      </c>
      <c r="O616" s="162" t="s">
        <v>604</v>
      </c>
      <c r="P616" s="345" t="s">
        <v>57</v>
      </c>
      <c r="Q616" s="163" t="s">
        <v>859</v>
      </c>
      <c r="R616" s="163" t="s">
        <v>93</v>
      </c>
      <c r="S616" s="157" t="s">
        <v>2631</v>
      </c>
      <c r="T616" s="12">
        <v>0</v>
      </c>
      <c r="U616" s="12"/>
      <c r="V616" s="17"/>
      <c r="W616" s="38"/>
      <c r="X616" s="12"/>
      <c r="Y616" s="17"/>
      <c r="AA616" s="66" t="s">
        <v>2794</v>
      </c>
    </row>
    <row r="617" spans="1:27" ht="52.5">
      <c r="A617" s="157" t="s">
        <v>2559</v>
      </c>
      <c r="B617" s="290" t="s">
        <v>56</v>
      </c>
      <c r="C617" s="158" t="s">
        <v>2858</v>
      </c>
      <c r="D617" s="305" t="s">
        <v>2065</v>
      </c>
      <c r="E617" s="163" t="s">
        <v>2649</v>
      </c>
      <c r="F617" s="157" t="s">
        <v>58</v>
      </c>
      <c r="G617" s="328" t="s">
        <v>259</v>
      </c>
      <c r="H617" s="158" t="s">
        <v>164</v>
      </c>
      <c r="I617" s="305" t="s">
        <v>409</v>
      </c>
      <c r="J617" s="158">
        <v>2024</v>
      </c>
      <c r="K617" s="259">
        <v>2024</v>
      </c>
      <c r="L617" s="267" t="s">
        <v>2648</v>
      </c>
      <c r="M617" s="173" t="s">
        <v>415</v>
      </c>
      <c r="N617" s="163" t="s">
        <v>2641</v>
      </c>
      <c r="O617" s="163" t="s">
        <v>59</v>
      </c>
      <c r="P617" s="345" t="s">
        <v>57</v>
      </c>
      <c r="Q617" s="163" t="s">
        <v>859</v>
      </c>
      <c r="R617" s="163" t="s">
        <v>93</v>
      </c>
      <c r="S617" s="157" t="s">
        <v>2631</v>
      </c>
      <c r="T617" s="12">
        <v>0</v>
      </c>
      <c r="U617" s="12"/>
      <c r="V617" s="17"/>
      <c r="W617" s="38"/>
      <c r="X617" s="12"/>
      <c r="Y617" s="17"/>
      <c r="AA617" s="66" t="s">
        <v>2794</v>
      </c>
    </row>
    <row r="618" spans="1:27" ht="70">
      <c r="A618" s="157" t="s">
        <v>2559</v>
      </c>
      <c r="B618" s="287" t="s">
        <v>56</v>
      </c>
      <c r="C618" s="158" t="s">
        <v>2858</v>
      </c>
      <c r="D618" s="295" t="s">
        <v>2645</v>
      </c>
      <c r="E618" s="160" t="s">
        <v>2646</v>
      </c>
      <c r="F618" s="157" t="s">
        <v>770</v>
      </c>
      <c r="G618" s="325" t="s">
        <v>412</v>
      </c>
      <c r="H618" s="158" t="s">
        <v>164</v>
      </c>
      <c r="I618" s="263" t="s">
        <v>2647</v>
      </c>
      <c r="J618" s="158">
        <v>2024</v>
      </c>
      <c r="K618" s="259">
        <v>2026</v>
      </c>
      <c r="L618" s="267" t="s">
        <v>2648</v>
      </c>
      <c r="M618" s="173" t="s">
        <v>2030</v>
      </c>
      <c r="N618" s="158"/>
      <c r="O618" s="163" t="s">
        <v>59</v>
      </c>
      <c r="P618" s="287" t="s">
        <v>57</v>
      </c>
      <c r="Q618" s="163" t="s">
        <v>901</v>
      </c>
      <c r="R618" s="163" t="s">
        <v>32</v>
      </c>
      <c r="S618" s="157" t="s">
        <v>2631</v>
      </c>
      <c r="T618" s="12">
        <v>0</v>
      </c>
      <c r="U618" s="12"/>
      <c r="V618" s="17"/>
      <c r="W618" s="38"/>
      <c r="X618" s="12"/>
      <c r="Y618" s="17"/>
      <c r="AA618" s="165" t="s">
        <v>2653</v>
      </c>
    </row>
    <row r="619" spans="1:27" ht="70">
      <c r="A619" s="157" t="s">
        <v>2559</v>
      </c>
      <c r="B619" s="287" t="s">
        <v>11</v>
      </c>
      <c r="C619" s="158" t="s">
        <v>2858</v>
      </c>
      <c r="D619" s="172" t="s">
        <v>2895</v>
      </c>
      <c r="E619" s="163" t="s">
        <v>3148</v>
      </c>
      <c r="F619" s="164" t="s">
        <v>58</v>
      </c>
      <c r="G619" s="330" t="s">
        <v>2896</v>
      </c>
      <c r="H619" s="164" t="s">
        <v>1132</v>
      </c>
      <c r="I619" s="216" t="s">
        <v>2897</v>
      </c>
      <c r="J619" s="164">
        <v>2025</v>
      </c>
      <c r="K619" s="164">
        <v>2025</v>
      </c>
      <c r="L619" s="162" t="s">
        <v>2898</v>
      </c>
      <c r="M619" s="162" t="s">
        <v>425</v>
      </c>
      <c r="N619" s="137" t="s">
        <v>1134</v>
      </c>
      <c r="O619" s="163" t="s">
        <v>59</v>
      </c>
      <c r="P619" s="164" t="s">
        <v>57</v>
      </c>
      <c r="Q619" s="162" t="s">
        <v>864</v>
      </c>
      <c r="R619" s="162" t="s">
        <v>93</v>
      </c>
      <c r="S619" s="157" t="s">
        <v>2642</v>
      </c>
      <c r="T619" s="164">
        <v>0</v>
      </c>
      <c r="U619" s="12"/>
      <c r="V619" s="17"/>
      <c r="W619" s="38"/>
      <c r="X619" s="12"/>
      <c r="Y619" s="17"/>
      <c r="Z619"/>
      <c r="AA619" s="165" t="s">
        <v>2653</v>
      </c>
    </row>
    <row r="620" spans="1:27" ht="52.5">
      <c r="A620" s="157" t="s">
        <v>2559</v>
      </c>
      <c r="B620" s="287" t="s">
        <v>11</v>
      </c>
      <c r="C620" s="158" t="s">
        <v>2858</v>
      </c>
      <c r="D620" s="295" t="s">
        <v>2906</v>
      </c>
      <c r="E620" s="160" t="s">
        <v>2907</v>
      </c>
      <c r="F620" s="158" t="s">
        <v>58</v>
      </c>
      <c r="G620" s="320" t="s">
        <v>2908</v>
      </c>
      <c r="H620" s="164" t="s">
        <v>164</v>
      </c>
      <c r="I620" s="161" t="s">
        <v>2909</v>
      </c>
      <c r="J620" s="158">
        <v>2023</v>
      </c>
      <c r="K620" s="266">
        <v>2025</v>
      </c>
      <c r="L620" s="340" t="s">
        <v>111</v>
      </c>
      <c r="M620" s="162" t="s">
        <v>149</v>
      </c>
      <c r="N620" s="163" t="s">
        <v>303</v>
      </c>
      <c r="O620" s="163" t="s">
        <v>59</v>
      </c>
      <c r="P620" s="344" t="s">
        <v>57</v>
      </c>
      <c r="Q620" s="163" t="s">
        <v>891</v>
      </c>
      <c r="R620" s="160" t="s">
        <v>93</v>
      </c>
      <c r="S620" s="157" t="s">
        <v>2631</v>
      </c>
      <c r="T620" s="12"/>
      <c r="U620" s="12"/>
      <c r="V620" s="17"/>
      <c r="W620" s="38"/>
      <c r="X620" s="12"/>
      <c r="Y620" s="17"/>
      <c r="Z620"/>
      <c r="AA620" s="66"/>
    </row>
    <row r="621" spans="1:27" ht="70">
      <c r="A621" s="157" t="s">
        <v>2559</v>
      </c>
      <c r="B621" s="287" t="s">
        <v>11</v>
      </c>
      <c r="C621" s="158" t="s">
        <v>2858</v>
      </c>
      <c r="D621" s="295" t="s">
        <v>2910</v>
      </c>
      <c r="E621" s="160" t="s">
        <v>2911</v>
      </c>
      <c r="F621" s="158" t="s">
        <v>58</v>
      </c>
      <c r="G621" s="320" t="s">
        <v>2908</v>
      </c>
      <c r="H621" s="164" t="s">
        <v>164</v>
      </c>
      <c r="I621" s="161" t="s">
        <v>2912</v>
      </c>
      <c r="J621" s="158">
        <v>2023</v>
      </c>
      <c r="K621" s="266">
        <v>2025</v>
      </c>
      <c r="L621" s="340" t="s">
        <v>111</v>
      </c>
      <c r="M621" s="162" t="s">
        <v>149</v>
      </c>
      <c r="N621" s="163" t="s">
        <v>303</v>
      </c>
      <c r="O621" s="163" t="s">
        <v>59</v>
      </c>
      <c r="P621" s="344" t="s">
        <v>57</v>
      </c>
      <c r="Q621" s="163" t="s">
        <v>891</v>
      </c>
      <c r="R621" s="160" t="s">
        <v>93</v>
      </c>
      <c r="S621" s="157" t="s">
        <v>2631</v>
      </c>
      <c r="T621" s="12"/>
      <c r="U621" s="12"/>
      <c r="V621" s="17"/>
      <c r="W621" s="86"/>
      <c r="X621" s="12"/>
      <c r="Y621" s="17"/>
      <c r="Z621"/>
      <c r="AA621" s="66"/>
    </row>
    <row r="622" spans="1:27" ht="52.5">
      <c r="A622" s="157" t="s">
        <v>2559</v>
      </c>
      <c r="B622" s="287" t="s">
        <v>11</v>
      </c>
      <c r="C622" s="158" t="s">
        <v>2858</v>
      </c>
      <c r="D622" s="295" t="s">
        <v>2899</v>
      </c>
      <c r="E622" s="160" t="s">
        <v>2900</v>
      </c>
      <c r="F622" s="158" t="s">
        <v>58</v>
      </c>
      <c r="G622" s="320" t="s">
        <v>2712</v>
      </c>
      <c r="H622" s="164" t="s">
        <v>164</v>
      </c>
      <c r="I622" s="161" t="s">
        <v>2901</v>
      </c>
      <c r="J622" s="158">
        <v>2025</v>
      </c>
      <c r="K622" s="266">
        <v>2026</v>
      </c>
      <c r="L622" s="340" t="s">
        <v>111</v>
      </c>
      <c r="M622" s="162" t="s">
        <v>149</v>
      </c>
      <c r="N622" s="163" t="s">
        <v>3134</v>
      </c>
      <c r="O622" s="163" t="s">
        <v>59</v>
      </c>
      <c r="P622" s="344" t="s">
        <v>57</v>
      </c>
      <c r="Q622" s="160" t="s">
        <v>864</v>
      </c>
      <c r="R622" s="160" t="s">
        <v>93</v>
      </c>
      <c r="S622" s="157" t="s">
        <v>2631</v>
      </c>
      <c r="T622" s="12"/>
      <c r="U622" s="12"/>
      <c r="V622" s="17"/>
      <c r="W622" s="38"/>
      <c r="X622" s="12"/>
      <c r="Y622" s="17"/>
      <c r="Z622"/>
      <c r="AA622" s="167"/>
    </row>
    <row r="623" spans="1:27" ht="70">
      <c r="A623" s="157" t="s">
        <v>2559</v>
      </c>
      <c r="B623" s="157" t="s">
        <v>11</v>
      </c>
      <c r="C623" s="158" t="s">
        <v>2858</v>
      </c>
      <c r="D623" s="159" t="s">
        <v>2902</v>
      </c>
      <c r="E623" s="160" t="s">
        <v>2903</v>
      </c>
      <c r="F623" s="158" t="s">
        <v>58</v>
      </c>
      <c r="G623" s="158" t="s">
        <v>2904</v>
      </c>
      <c r="H623" s="164" t="s">
        <v>164</v>
      </c>
      <c r="I623" s="161" t="s">
        <v>2905</v>
      </c>
      <c r="J623" s="158">
        <v>2025</v>
      </c>
      <c r="K623" s="158">
        <v>2027</v>
      </c>
      <c r="L623" s="162" t="s">
        <v>111</v>
      </c>
      <c r="M623" s="162" t="s">
        <v>149</v>
      </c>
      <c r="N623" s="354" t="s">
        <v>3193</v>
      </c>
      <c r="O623" s="163" t="s">
        <v>59</v>
      </c>
      <c r="P623" s="164" t="s">
        <v>57</v>
      </c>
      <c r="Q623" s="160" t="s">
        <v>864</v>
      </c>
      <c r="R623" s="160" t="s">
        <v>93</v>
      </c>
      <c r="S623" s="157" t="s">
        <v>2631</v>
      </c>
      <c r="T623" s="12"/>
      <c r="U623" s="12"/>
      <c r="V623" s="17"/>
      <c r="W623" s="38"/>
      <c r="X623" s="12"/>
      <c r="Y623" s="17"/>
      <c r="Z623"/>
      <c r="AA623" s="165" t="s">
        <v>2653</v>
      </c>
    </row>
    <row r="624" spans="1:27" ht="52.5">
      <c r="A624" s="157" t="s">
        <v>2559</v>
      </c>
      <c r="B624" s="157" t="s">
        <v>11</v>
      </c>
      <c r="C624" s="158" t="s">
        <v>2858</v>
      </c>
      <c r="D624" s="159" t="s">
        <v>2913</v>
      </c>
      <c r="E624" s="160" t="s">
        <v>2914</v>
      </c>
      <c r="F624" s="158" t="s">
        <v>58</v>
      </c>
      <c r="G624" s="158" t="s">
        <v>2915</v>
      </c>
      <c r="H624" s="158" t="s">
        <v>164</v>
      </c>
      <c r="I624" s="161" t="s">
        <v>2916</v>
      </c>
      <c r="J624" s="158">
        <v>2025</v>
      </c>
      <c r="K624" s="158">
        <v>2026</v>
      </c>
      <c r="L624" s="160" t="s">
        <v>2917</v>
      </c>
      <c r="M624" s="162" t="s">
        <v>2505</v>
      </c>
      <c r="N624" s="163" t="s">
        <v>3134</v>
      </c>
      <c r="O624" s="163" t="s">
        <v>59</v>
      </c>
      <c r="P624" s="164" t="s">
        <v>57</v>
      </c>
      <c r="Q624" s="163" t="s">
        <v>910</v>
      </c>
      <c r="R624" s="163" t="s">
        <v>23</v>
      </c>
      <c r="S624" s="157" t="s">
        <v>2642</v>
      </c>
      <c r="T624" s="12">
        <v>0</v>
      </c>
      <c r="U624" s="12"/>
      <c r="V624" s="17"/>
      <c r="W624" s="38"/>
      <c r="X624" s="12"/>
      <c r="Y624" s="17"/>
      <c r="Z624"/>
      <c r="AA624" s="167"/>
    </row>
    <row r="625" spans="1:27" ht="52.5">
      <c r="A625" s="157" t="s">
        <v>2559</v>
      </c>
      <c r="B625" s="157" t="s">
        <v>11</v>
      </c>
      <c r="C625" s="158" t="s">
        <v>2858</v>
      </c>
      <c r="D625" s="159" t="s">
        <v>2922</v>
      </c>
      <c r="E625" s="160" t="s">
        <v>2923</v>
      </c>
      <c r="F625" s="158" t="s">
        <v>224</v>
      </c>
      <c r="G625" s="158" t="s">
        <v>2125</v>
      </c>
      <c r="H625" s="158" t="s">
        <v>408</v>
      </c>
      <c r="I625" s="161" t="s">
        <v>2924</v>
      </c>
      <c r="J625" s="158">
        <v>2025</v>
      </c>
      <c r="K625" s="158">
        <v>2029</v>
      </c>
      <c r="L625" s="160" t="s">
        <v>2925</v>
      </c>
      <c r="M625" s="162" t="s">
        <v>2505</v>
      </c>
      <c r="N625" s="158"/>
      <c r="O625" s="163" t="s">
        <v>59</v>
      </c>
      <c r="P625" s="164" t="s">
        <v>57</v>
      </c>
      <c r="Q625" s="160" t="s">
        <v>864</v>
      </c>
      <c r="R625" s="162" t="s">
        <v>44</v>
      </c>
      <c r="S625" s="157" t="s">
        <v>2631</v>
      </c>
      <c r="T625" s="12"/>
      <c r="U625" s="12"/>
      <c r="V625" s="17"/>
      <c r="W625" s="38"/>
      <c r="X625" s="12"/>
      <c r="Y625" s="17"/>
      <c r="Z625"/>
      <c r="AA625" s="165" t="s">
        <v>2653</v>
      </c>
    </row>
    <row r="626" spans="1:27" ht="70">
      <c r="A626" s="157" t="s">
        <v>2559</v>
      </c>
      <c r="B626" s="157" t="s">
        <v>11</v>
      </c>
      <c r="C626" s="158" t="s">
        <v>2858</v>
      </c>
      <c r="D626" s="159" t="s">
        <v>2918</v>
      </c>
      <c r="E626" s="160" t="s">
        <v>2919</v>
      </c>
      <c r="F626" s="158" t="s">
        <v>58</v>
      </c>
      <c r="G626" s="158" t="s">
        <v>2712</v>
      </c>
      <c r="H626" s="158" t="s">
        <v>408</v>
      </c>
      <c r="I626" s="161" t="s">
        <v>2920</v>
      </c>
      <c r="J626" s="158">
        <v>2025</v>
      </c>
      <c r="K626" s="158">
        <v>2027</v>
      </c>
      <c r="L626" s="160" t="s">
        <v>2921</v>
      </c>
      <c r="M626" s="162" t="s">
        <v>2505</v>
      </c>
      <c r="N626" s="353" t="s">
        <v>3205</v>
      </c>
      <c r="O626" s="163" t="s">
        <v>59</v>
      </c>
      <c r="P626" s="164" t="s">
        <v>57</v>
      </c>
      <c r="Q626" s="160" t="s">
        <v>864</v>
      </c>
      <c r="R626" s="160" t="s">
        <v>93</v>
      </c>
      <c r="S626" s="157" t="s">
        <v>2634</v>
      </c>
      <c r="T626" s="164">
        <v>1</v>
      </c>
      <c r="U626" s="12"/>
      <c r="V626" s="17"/>
      <c r="W626" s="38"/>
      <c r="X626" s="12"/>
      <c r="Y626" s="17"/>
      <c r="Z626"/>
      <c r="AA626" s="66"/>
    </row>
    <row r="627" spans="1:27" ht="409.5">
      <c r="A627" s="157" t="s">
        <v>736</v>
      </c>
      <c r="B627" s="157" t="s">
        <v>1125</v>
      </c>
      <c r="C627" s="158" t="s">
        <v>2858</v>
      </c>
      <c r="D627" s="175" t="s">
        <v>2775</v>
      </c>
      <c r="E627" s="163" t="s">
        <v>2776</v>
      </c>
      <c r="F627" s="157" t="s">
        <v>2</v>
      </c>
      <c r="G627" s="157" t="s">
        <v>3163</v>
      </c>
      <c r="H627" s="157" t="s">
        <v>164</v>
      </c>
      <c r="I627" s="177" t="s">
        <v>2777</v>
      </c>
      <c r="J627" s="157">
        <v>2025</v>
      </c>
      <c r="K627" s="157">
        <v>2026</v>
      </c>
      <c r="L627" s="163" t="s">
        <v>1813</v>
      </c>
      <c r="M627" s="163" t="s">
        <v>1814</v>
      </c>
      <c r="N627" s="163" t="s">
        <v>2253</v>
      </c>
      <c r="O627" s="162" t="s">
        <v>604</v>
      </c>
      <c r="P627" s="157" t="s">
        <v>57</v>
      </c>
      <c r="Q627" s="163" t="s">
        <v>925</v>
      </c>
      <c r="R627" s="163" t="s">
        <v>26</v>
      </c>
      <c r="S627" s="157" t="s">
        <v>2631</v>
      </c>
      <c r="T627" s="12"/>
      <c r="U627" s="12"/>
      <c r="V627" s="17"/>
      <c r="W627" s="38"/>
      <c r="X627" s="12"/>
      <c r="Y627" s="17"/>
      <c r="AA627" s="66"/>
    </row>
    <row r="628" spans="1:27" ht="52.5">
      <c r="A628" s="157" t="s">
        <v>2778</v>
      </c>
      <c r="B628" s="157" t="s">
        <v>2779</v>
      </c>
      <c r="C628" s="158" t="s">
        <v>2858</v>
      </c>
      <c r="D628" s="175" t="s">
        <v>2780</v>
      </c>
      <c r="E628" s="163" t="s">
        <v>2781</v>
      </c>
      <c r="F628" s="157" t="s">
        <v>2</v>
      </c>
      <c r="G628" s="157" t="s">
        <v>781</v>
      </c>
      <c r="H628" s="157" t="s">
        <v>54</v>
      </c>
      <c r="I628" s="177" t="s">
        <v>2782</v>
      </c>
      <c r="J628" s="157">
        <v>2025</v>
      </c>
      <c r="K628" s="157">
        <v>2026</v>
      </c>
      <c r="L628" s="163" t="s">
        <v>2783</v>
      </c>
      <c r="M628" s="163" t="s">
        <v>2784</v>
      </c>
      <c r="N628" s="137" t="s">
        <v>1134</v>
      </c>
      <c r="O628" s="162" t="s">
        <v>604</v>
      </c>
      <c r="P628" s="157" t="s">
        <v>10</v>
      </c>
      <c r="Q628" s="163" t="s">
        <v>906</v>
      </c>
      <c r="R628" s="249" t="s">
        <v>1712</v>
      </c>
      <c r="S628" s="157" t="s">
        <v>2634</v>
      </c>
      <c r="T628" s="164">
        <v>1</v>
      </c>
      <c r="U628" s="29"/>
      <c r="V628" s="157" t="s">
        <v>2632</v>
      </c>
      <c r="W628" s="172" t="s">
        <v>2632</v>
      </c>
      <c r="X628" s="164" t="s">
        <v>2632</v>
      </c>
      <c r="Y628" s="157" t="s">
        <v>2628</v>
      </c>
      <c r="AA628" s="66"/>
    </row>
    <row r="629" spans="1:27" ht="52.5">
      <c r="A629" s="157" t="s">
        <v>736</v>
      </c>
      <c r="B629" s="157" t="s">
        <v>1736</v>
      </c>
      <c r="C629" s="158" t="s">
        <v>2858</v>
      </c>
      <c r="D629" s="175" t="s">
        <v>3120</v>
      </c>
      <c r="E629" s="163" t="s">
        <v>3121</v>
      </c>
      <c r="F629" s="157" t="s">
        <v>770</v>
      </c>
      <c r="G629" s="157" t="s">
        <v>1730</v>
      </c>
      <c r="H629" s="157" t="s">
        <v>164</v>
      </c>
      <c r="I629" s="177" t="s">
        <v>3122</v>
      </c>
      <c r="J629" s="157">
        <v>2023</v>
      </c>
      <c r="K629" s="157">
        <v>2026</v>
      </c>
      <c r="L629" s="163" t="s">
        <v>264</v>
      </c>
      <c r="M629" s="163" t="s">
        <v>3123</v>
      </c>
      <c r="N629" s="163" t="s">
        <v>1732</v>
      </c>
      <c r="O629" s="162" t="s">
        <v>604</v>
      </c>
      <c r="P629" s="157" t="s">
        <v>57</v>
      </c>
      <c r="Q629" s="163" t="s">
        <v>906</v>
      </c>
      <c r="R629" s="249" t="s">
        <v>1712</v>
      </c>
      <c r="S629" s="157" t="s">
        <v>2631</v>
      </c>
      <c r="T629" s="164">
        <v>0</v>
      </c>
      <c r="U629" s="29"/>
      <c r="V629" s="157"/>
      <c r="W629" s="172"/>
      <c r="X629" s="164"/>
      <c r="Y629" s="157"/>
      <c r="AA629" s="66"/>
    </row>
    <row r="630" spans="1:27" customFormat="1" ht="87.5">
      <c r="A630" s="157" t="s">
        <v>736</v>
      </c>
      <c r="B630" s="157" t="s">
        <v>1736</v>
      </c>
      <c r="C630" s="158" t="s">
        <v>2858</v>
      </c>
      <c r="D630" s="214" t="s">
        <v>2763</v>
      </c>
      <c r="E630" s="258"/>
      <c r="F630" s="157" t="s">
        <v>770</v>
      </c>
      <c r="G630" s="157" t="s">
        <v>1730</v>
      </c>
      <c r="H630" s="157" t="s">
        <v>389</v>
      </c>
      <c r="I630" s="262" t="s">
        <v>2764</v>
      </c>
      <c r="J630" s="157">
        <v>2025</v>
      </c>
      <c r="K630" s="157">
        <v>2028</v>
      </c>
      <c r="L630" s="187" t="s">
        <v>2765</v>
      </c>
      <c r="M630" s="187" t="s">
        <v>2257</v>
      </c>
      <c r="N630" s="187" t="s">
        <v>1732</v>
      </c>
      <c r="O630" s="162" t="s">
        <v>604</v>
      </c>
      <c r="P630" s="157" t="s">
        <v>57</v>
      </c>
      <c r="Q630" s="163" t="s">
        <v>906</v>
      </c>
      <c r="R630" s="249" t="s">
        <v>1712</v>
      </c>
      <c r="S630" s="157" t="s">
        <v>2631</v>
      </c>
      <c r="T630" s="12"/>
      <c r="U630" s="12"/>
      <c r="V630" s="17"/>
      <c r="W630" s="38"/>
      <c r="X630" s="12"/>
      <c r="Y630" s="17"/>
      <c r="Z630" s="22"/>
      <c r="AA630" s="66"/>
    </row>
    <row r="631" spans="1:27" customFormat="1" ht="52.5">
      <c r="A631" s="157" t="s">
        <v>736</v>
      </c>
      <c r="B631" s="157" t="s">
        <v>1736</v>
      </c>
      <c r="C631" s="158" t="s">
        <v>2858</v>
      </c>
      <c r="D631" s="214" t="s">
        <v>2770</v>
      </c>
      <c r="E631" s="258" t="s">
        <v>2771</v>
      </c>
      <c r="F631" s="157" t="s">
        <v>58</v>
      </c>
      <c r="G631" s="157" t="s">
        <v>259</v>
      </c>
      <c r="H631" s="157" t="s">
        <v>389</v>
      </c>
      <c r="I631" s="262" t="s">
        <v>2772</v>
      </c>
      <c r="J631" s="157">
        <v>2025</v>
      </c>
      <c r="K631" s="157">
        <v>2027</v>
      </c>
      <c r="L631" s="187" t="s">
        <v>2765</v>
      </c>
      <c r="M631" s="187" t="s">
        <v>2257</v>
      </c>
      <c r="N631" s="187" t="s">
        <v>3185</v>
      </c>
      <c r="O631" s="162" t="s">
        <v>604</v>
      </c>
      <c r="P631" s="157" t="s">
        <v>57</v>
      </c>
      <c r="Q631" s="163" t="s">
        <v>906</v>
      </c>
      <c r="R631" s="249" t="s">
        <v>1712</v>
      </c>
      <c r="S631" s="157" t="s">
        <v>2634</v>
      </c>
      <c r="T631" s="164">
        <v>1</v>
      </c>
      <c r="U631" s="29"/>
      <c r="V631" s="157" t="s">
        <v>2632</v>
      </c>
      <c r="W631" s="172" t="s">
        <v>2632</v>
      </c>
      <c r="X631" s="164" t="s">
        <v>2632</v>
      </c>
      <c r="Y631" s="157" t="s">
        <v>2628</v>
      </c>
      <c r="Z631" s="22"/>
      <c r="AA631" s="66" t="s">
        <v>2794</v>
      </c>
    </row>
    <row r="632" spans="1:27" customFormat="1" ht="52.5">
      <c r="A632" s="157" t="s">
        <v>736</v>
      </c>
      <c r="B632" s="157" t="s">
        <v>1736</v>
      </c>
      <c r="C632" s="158" t="s">
        <v>2858</v>
      </c>
      <c r="D632" s="175" t="s">
        <v>2773</v>
      </c>
      <c r="E632" s="163"/>
      <c r="F632" s="157" t="s">
        <v>58</v>
      </c>
      <c r="G632" s="157" t="s">
        <v>259</v>
      </c>
      <c r="H632" s="157" t="s">
        <v>389</v>
      </c>
      <c r="I632" s="177" t="s">
        <v>2774</v>
      </c>
      <c r="J632" s="157">
        <v>2026</v>
      </c>
      <c r="K632" s="157">
        <v>2028</v>
      </c>
      <c r="L632" s="163" t="s">
        <v>2769</v>
      </c>
      <c r="M632" s="163" t="s">
        <v>2257</v>
      </c>
      <c r="N632" s="163" t="s">
        <v>3137</v>
      </c>
      <c r="O632" s="162" t="s">
        <v>604</v>
      </c>
      <c r="P632" s="157" t="s">
        <v>57</v>
      </c>
      <c r="Q632" s="163" t="s">
        <v>906</v>
      </c>
      <c r="R632" s="249" t="s">
        <v>1712</v>
      </c>
      <c r="S632" s="157" t="s">
        <v>2634</v>
      </c>
      <c r="T632" s="164">
        <v>1</v>
      </c>
      <c r="U632" s="29"/>
      <c r="V632" s="157" t="s">
        <v>2632</v>
      </c>
      <c r="W632" s="172" t="s">
        <v>2632</v>
      </c>
      <c r="X632" s="164" t="s">
        <v>2632</v>
      </c>
      <c r="Y632" s="157" t="s">
        <v>2628</v>
      </c>
      <c r="Z632" s="22"/>
      <c r="AA632" s="66"/>
    </row>
    <row r="633" spans="1:27" customFormat="1" ht="140">
      <c r="A633" s="157" t="s">
        <v>736</v>
      </c>
      <c r="B633" s="157" t="s">
        <v>1736</v>
      </c>
      <c r="C633" s="158" t="s">
        <v>2858</v>
      </c>
      <c r="D633" s="175" t="s">
        <v>2766</v>
      </c>
      <c r="E633" s="163" t="s">
        <v>2767</v>
      </c>
      <c r="F633" s="157" t="s">
        <v>58</v>
      </c>
      <c r="G633" s="157" t="s">
        <v>1767</v>
      </c>
      <c r="H633" s="157" t="s">
        <v>164</v>
      </c>
      <c r="I633" s="177" t="s">
        <v>2768</v>
      </c>
      <c r="J633" s="157">
        <v>2025</v>
      </c>
      <c r="K633" s="157">
        <v>2028</v>
      </c>
      <c r="L633" s="163" t="s">
        <v>3119</v>
      </c>
      <c r="M633" s="163" t="s">
        <v>2257</v>
      </c>
      <c r="N633" s="163" t="s">
        <v>3136</v>
      </c>
      <c r="O633" s="162" t="s">
        <v>604</v>
      </c>
      <c r="P633" s="157" t="s">
        <v>57</v>
      </c>
      <c r="Q633" s="163" t="s">
        <v>906</v>
      </c>
      <c r="R633" s="249" t="s">
        <v>1712</v>
      </c>
      <c r="S633" s="157" t="s">
        <v>2634</v>
      </c>
      <c r="T633" s="164">
        <v>1</v>
      </c>
      <c r="U633" s="29"/>
      <c r="V633" s="157" t="s">
        <v>2632</v>
      </c>
      <c r="W633" s="172" t="s">
        <v>2632</v>
      </c>
      <c r="X633" s="164" t="s">
        <v>2632</v>
      </c>
      <c r="Y633" s="157" t="s">
        <v>2628</v>
      </c>
      <c r="Z633" s="22"/>
      <c r="AA633" s="66"/>
    </row>
    <row r="634" spans="1:27" customFormat="1" ht="140">
      <c r="A634" s="157" t="s">
        <v>548</v>
      </c>
      <c r="B634" s="163" t="s">
        <v>566</v>
      </c>
      <c r="C634" s="158" t="s">
        <v>2858</v>
      </c>
      <c r="D634" s="208" t="s">
        <v>2825</v>
      </c>
      <c r="E634" s="163" t="s">
        <v>2826</v>
      </c>
      <c r="F634" s="157" t="s">
        <v>298</v>
      </c>
      <c r="G634" s="157" t="s">
        <v>1055</v>
      </c>
      <c r="H634" s="157" t="s">
        <v>811</v>
      </c>
      <c r="I634" s="175" t="s">
        <v>2827</v>
      </c>
      <c r="J634" s="157">
        <v>2024</v>
      </c>
      <c r="K634" s="157">
        <v>2025</v>
      </c>
      <c r="L634" s="163" t="s">
        <v>1968</v>
      </c>
      <c r="M634" s="163"/>
      <c r="N634" s="157"/>
      <c r="O634" s="162" t="s">
        <v>604</v>
      </c>
      <c r="P634" s="157" t="s">
        <v>57</v>
      </c>
      <c r="Q634" s="163" t="s">
        <v>891</v>
      </c>
      <c r="R634" s="162" t="s">
        <v>892</v>
      </c>
      <c r="S634" s="157" t="s">
        <v>2735</v>
      </c>
      <c r="T634" s="157">
        <v>1</v>
      </c>
      <c r="U634" s="157" t="s">
        <v>1781</v>
      </c>
      <c r="V634" s="157" t="s">
        <v>2828</v>
      </c>
      <c r="W634" s="175" t="s">
        <v>2829</v>
      </c>
      <c r="X634" s="157" t="s">
        <v>1960</v>
      </c>
      <c r="Y634" s="157" t="s">
        <v>1968</v>
      </c>
      <c r="Z634" s="22"/>
      <c r="AA634" s="165" t="s">
        <v>2653</v>
      </c>
    </row>
    <row r="635" spans="1:27" customFormat="1" ht="122.5">
      <c r="A635" s="157" t="s">
        <v>548</v>
      </c>
      <c r="B635" s="163" t="s">
        <v>566</v>
      </c>
      <c r="C635" s="158" t="s">
        <v>2858</v>
      </c>
      <c r="D635" s="208" t="s">
        <v>2830</v>
      </c>
      <c r="E635" s="163" t="s">
        <v>2826</v>
      </c>
      <c r="F635" s="157" t="s">
        <v>298</v>
      </c>
      <c r="G635" s="157" t="s">
        <v>1055</v>
      </c>
      <c r="H635" s="157" t="s">
        <v>811</v>
      </c>
      <c r="I635" s="175" t="s">
        <v>2831</v>
      </c>
      <c r="J635" s="157">
        <v>2024</v>
      </c>
      <c r="K635" s="157">
        <v>2025</v>
      </c>
      <c r="L635" s="163" t="s">
        <v>1968</v>
      </c>
      <c r="M635" s="163"/>
      <c r="N635" s="157"/>
      <c r="O635" s="162" t="s">
        <v>604</v>
      </c>
      <c r="P635" s="157" t="s">
        <v>57</v>
      </c>
      <c r="Q635" s="163" t="s">
        <v>891</v>
      </c>
      <c r="R635" s="162" t="s">
        <v>892</v>
      </c>
      <c r="S635" s="157" t="s">
        <v>2735</v>
      </c>
      <c r="T635" s="157">
        <v>1</v>
      </c>
      <c r="U635" s="157" t="s">
        <v>1781</v>
      </c>
      <c r="V635" s="157" t="s">
        <v>2832</v>
      </c>
      <c r="W635" s="175" t="s">
        <v>2833</v>
      </c>
      <c r="X635" s="157" t="s">
        <v>1960</v>
      </c>
      <c r="Y635" s="157" t="s">
        <v>1968</v>
      </c>
      <c r="Z635" s="22"/>
      <c r="AA635" s="165" t="s">
        <v>2653</v>
      </c>
    </row>
    <row r="636" spans="1:27" customFormat="1" ht="122.5">
      <c r="A636" s="157" t="s">
        <v>548</v>
      </c>
      <c r="B636" s="163" t="s">
        <v>566</v>
      </c>
      <c r="C636" s="158" t="s">
        <v>2858</v>
      </c>
      <c r="D636" s="208" t="s">
        <v>2830</v>
      </c>
      <c r="E636" s="163" t="s">
        <v>2826</v>
      </c>
      <c r="F636" s="157" t="s">
        <v>298</v>
      </c>
      <c r="G636" s="157" t="s">
        <v>1055</v>
      </c>
      <c r="H636" s="157" t="s">
        <v>811</v>
      </c>
      <c r="I636" s="175" t="s">
        <v>2831</v>
      </c>
      <c r="J636" s="157">
        <v>2024</v>
      </c>
      <c r="K636" s="157">
        <v>2025</v>
      </c>
      <c r="L636" s="163" t="s">
        <v>1968</v>
      </c>
      <c r="M636" s="163"/>
      <c r="N636" s="157"/>
      <c r="O636" s="162" t="s">
        <v>604</v>
      </c>
      <c r="P636" s="157" t="s">
        <v>57</v>
      </c>
      <c r="Q636" s="163" t="s">
        <v>891</v>
      </c>
      <c r="R636" s="162" t="s">
        <v>892</v>
      </c>
      <c r="S636" s="157" t="s">
        <v>2735</v>
      </c>
      <c r="T636" s="157">
        <v>1</v>
      </c>
      <c r="U636" s="157" t="s">
        <v>1781</v>
      </c>
      <c r="V636" s="157" t="s">
        <v>2834</v>
      </c>
      <c r="W636" s="175" t="s">
        <v>2835</v>
      </c>
      <c r="X636" s="157" t="s">
        <v>1960</v>
      </c>
      <c r="Y636" s="157" t="s">
        <v>1968</v>
      </c>
      <c r="Z636" s="22"/>
      <c r="AA636" s="165" t="s">
        <v>2653</v>
      </c>
    </row>
    <row r="637" spans="1:27" customFormat="1" ht="105">
      <c r="A637" s="157" t="s">
        <v>548</v>
      </c>
      <c r="B637" s="163" t="s">
        <v>566</v>
      </c>
      <c r="C637" s="158" t="s">
        <v>2858</v>
      </c>
      <c r="D637" s="175" t="s">
        <v>2812</v>
      </c>
      <c r="E637" s="163" t="s">
        <v>2813</v>
      </c>
      <c r="F637" s="157" t="s">
        <v>58</v>
      </c>
      <c r="G637" s="157" t="s">
        <v>2003</v>
      </c>
      <c r="H637" s="157" t="s">
        <v>811</v>
      </c>
      <c r="I637" s="177" t="s">
        <v>2814</v>
      </c>
      <c r="J637" s="157">
        <v>2023</v>
      </c>
      <c r="K637" s="157">
        <v>2025</v>
      </c>
      <c r="L637" s="163" t="s">
        <v>2815</v>
      </c>
      <c r="M637" s="163" t="s">
        <v>2816</v>
      </c>
      <c r="N637" s="163" t="s">
        <v>3140</v>
      </c>
      <c r="O637" s="163" t="s">
        <v>59</v>
      </c>
      <c r="P637" s="157" t="s">
        <v>57</v>
      </c>
      <c r="Q637" s="163" t="s">
        <v>1992</v>
      </c>
      <c r="R637" s="163" t="s">
        <v>1993</v>
      </c>
      <c r="S637" s="157" t="s">
        <v>2631</v>
      </c>
      <c r="T637" s="157">
        <v>0</v>
      </c>
      <c r="U637" s="157"/>
      <c r="V637" s="157"/>
      <c r="W637" s="175"/>
      <c r="X637" s="157"/>
      <c r="Y637" s="157"/>
      <c r="Z637" s="22"/>
      <c r="AA637" s="66" t="s">
        <v>2794</v>
      </c>
    </row>
    <row r="638" spans="1:27" customFormat="1" ht="87.5">
      <c r="A638" s="157" t="s">
        <v>548</v>
      </c>
      <c r="B638" s="163" t="s">
        <v>566</v>
      </c>
      <c r="C638" s="158" t="s">
        <v>2858</v>
      </c>
      <c r="D638" s="175" t="s">
        <v>2817</v>
      </c>
      <c r="E638" s="315" t="s">
        <v>2818</v>
      </c>
      <c r="F638" s="157" t="s">
        <v>58</v>
      </c>
      <c r="G638" s="157" t="s">
        <v>1990</v>
      </c>
      <c r="H638" s="157" t="s">
        <v>54</v>
      </c>
      <c r="I638" s="209" t="s">
        <v>2819</v>
      </c>
      <c r="J638" s="157">
        <v>2024</v>
      </c>
      <c r="K638" s="157">
        <v>2025</v>
      </c>
      <c r="L638" s="163" t="s">
        <v>2815</v>
      </c>
      <c r="M638" s="163" t="s">
        <v>2816</v>
      </c>
      <c r="N638" s="163" t="s">
        <v>3140</v>
      </c>
      <c r="O638" s="163" t="s">
        <v>59</v>
      </c>
      <c r="P638" s="157" t="s">
        <v>57</v>
      </c>
      <c r="Q638" s="163" t="s">
        <v>1992</v>
      </c>
      <c r="R638" s="163" t="s">
        <v>1993</v>
      </c>
      <c r="S638" s="157" t="s">
        <v>2820</v>
      </c>
      <c r="T638" s="157">
        <v>1</v>
      </c>
      <c r="U638" s="157"/>
      <c r="V638" s="157" t="s">
        <v>2821</v>
      </c>
      <c r="W638" s="175" t="s">
        <v>2821</v>
      </c>
      <c r="X638" s="157" t="s">
        <v>2821</v>
      </c>
      <c r="Y638" s="157" t="s">
        <v>2815</v>
      </c>
      <c r="Z638" s="22"/>
      <c r="AA638" s="66"/>
    </row>
    <row r="639" spans="1:27" customFormat="1" ht="105">
      <c r="A639" s="157" t="s">
        <v>548</v>
      </c>
      <c r="B639" s="163" t="s">
        <v>566</v>
      </c>
      <c r="C639" s="158" t="s">
        <v>2858</v>
      </c>
      <c r="D639" s="175" t="s">
        <v>2822</v>
      </c>
      <c r="E639" s="163" t="s">
        <v>2818</v>
      </c>
      <c r="F639" s="157" t="s">
        <v>58</v>
      </c>
      <c r="G639" s="157" t="s">
        <v>1990</v>
      </c>
      <c r="H639" s="157" t="s">
        <v>54</v>
      </c>
      <c r="I639" s="177" t="s">
        <v>2823</v>
      </c>
      <c r="J639" s="157">
        <v>2025</v>
      </c>
      <c r="K639" s="157">
        <v>2026</v>
      </c>
      <c r="L639" s="163" t="s">
        <v>2815</v>
      </c>
      <c r="M639" s="163" t="s">
        <v>2816</v>
      </c>
      <c r="N639" s="163" t="s">
        <v>3140</v>
      </c>
      <c r="O639" s="163" t="s">
        <v>59</v>
      </c>
      <c r="P639" s="157" t="s">
        <v>57</v>
      </c>
      <c r="Q639" s="163" t="s">
        <v>1992</v>
      </c>
      <c r="R639" s="163" t="s">
        <v>1993</v>
      </c>
      <c r="S639" s="157" t="s">
        <v>2642</v>
      </c>
      <c r="T639" s="157">
        <v>0</v>
      </c>
      <c r="U639" s="157"/>
      <c r="V639" s="157"/>
      <c r="W639" s="175"/>
      <c r="X639" s="157"/>
      <c r="Y639" s="157"/>
      <c r="Z639" s="22"/>
      <c r="AA639" s="66"/>
    </row>
    <row r="640" spans="1:27" customFormat="1" ht="52.5">
      <c r="A640" s="157" t="s">
        <v>548</v>
      </c>
      <c r="B640" s="163" t="s">
        <v>566</v>
      </c>
      <c r="C640" s="158" t="s">
        <v>2858</v>
      </c>
      <c r="D640" s="175" t="s">
        <v>1241</v>
      </c>
      <c r="E640" s="163" t="s">
        <v>1270</v>
      </c>
      <c r="F640" s="157" t="s">
        <v>298</v>
      </c>
      <c r="G640" s="157" t="s">
        <v>1055</v>
      </c>
      <c r="H640" s="157" t="s">
        <v>1132</v>
      </c>
      <c r="I640" s="177" t="s">
        <v>2824</v>
      </c>
      <c r="J640" s="157">
        <v>2025</v>
      </c>
      <c r="K640" s="157">
        <v>2026</v>
      </c>
      <c r="L640" s="163" t="s">
        <v>1964</v>
      </c>
      <c r="M640" s="163"/>
      <c r="N640" s="157"/>
      <c r="O640" s="162" t="s">
        <v>604</v>
      </c>
      <c r="P640" s="157" t="s">
        <v>57</v>
      </c>
      <c r="Q640" s="163" t="s">
        <v>891</v>
      </c>
      <c r="R640" s="162" t="s">
        <v>892</v>
      </c>
      <c r="S640" s="157" t="s">
        <v>2634</v>
      </c>
      <c r="T640" s="157">
        <v>1</v>
      </c>
      <c r="U640" s="157"/>
      <c r="V640" s="157" t="s">
        <v>2821</v>
      </c>
      <c r="W640" s="175" t="s">
        <v>2821</v>
      </c>
      <c r="X640" s="157" t="s">
        <v>2821</v>
      </c>
      <c r="Y640" s="157" t="s">
        <v>2821</v>
      </c>
      <c r="Z640" s="22"/>
      <c r="AA640" s="165" t="s">
        <v>2653</v>
      </c>
    </row>
    <row r="641" spans="1:27" customFormat="1" ht="35">
      <c r="A641" s="157" t="s">
        <v>548</v>
      </c>
      <c r="B641" s="157" t="s">
        <v>2790</v>
      </c>
      <c r="C641" s="158" t="s">
        <v>2858</v>
      </c>
      <c r="D641" s="175" t="s">
        <v>2836</v>
      </c>
      <c r="E641" s="163" t="s">
        <v>2460</v>
      </c>
      <c r="F641" s="157" t="s">
        <v>298</v>
      </c>
      <c r="G641" s="157" t="s">
        <v>2837</v>
      </c>
      <c r="H641" s="157" t="s">
        <v>164</v>
      </c>
      <c r="I641" s="163" t="s">
        <v>2847</v>
      </c>
      <c r="J641" s="157">
        <v>2025</v>
      </c>
      <c r="K641" s="157">
        <v>2028</v>
      </c>
      <c r="L641" s="163" t="s">
        <v>2848</v>
      </c>
      <c r="M641" s="163"/>
      <c r="N641" s="157"/>
      <c r="O641" s="162" t="s">
        <v>604</v>
      </c>
      <c r="P641" s="157" t="s">
        <v>57</v>
      </c>
      <c r="Q641" s="163" t="s">
        <v>891</v>
      </c>
      <c r="R641" s="162" t="s">
        <v>1094</v>
      </c>
      <c r="S641" s="157" t="s">
        <v>2631</v>
      </c>
      <c r="T641" s="157">
        <v>0</v>
      </c>
      <c r="U641" s="157"/>
      <c r="V641" s="157"/>
      <c r="W641" s="175"/>
      <c r="X641" s="157"/>
      <c r="Y641" s="157"/>
      <c r="Z641" s="22"/>
      <c r="AA641" s="165" t="s">
        <v>2653</v>
      </c>
    </row>
    <row r="642" spans="1:27" customFormat="1" ht="52.5">
      <c r="A642" s="157" t="s">
        <v>548</v>
      </c>
      <c r="B642" s="157" t="s">
        <v>2790</v>
      </c>
      <c r="C642" s="158" t="s">
        <v>2858</v>
      </c>
      <c r="D642" s="175" t="s">
        <v>2849</v>
      </c>
      <c r="E642" s="163" t="s">
        <v>2460</v>
      </c>
      <c r="F642" s="157" t="s">
        <v>298</v>
      </c>
      <c r="G642" s="157" t="s">
        <v>2837</v>
      </c>
      <c r="H642" s="157" t="s">
        <v>164</v>
      </c>
      <c r="I642" s="163" t="s">
        <v>2850</v>
      </c>
      <c r="J642" s="157">
        <v>2023</v>
      </c>
      <c r="K642" s="157">
        <v>2027</v>
      </c>
      <c r="L642" s="163" t="s">
        <v>2851</v>
      </c>
      <c r="M642" s="163"/>
      <c r="N642" s="157"/>
      <c r="O642" s="163" t="s">
        <v>204</v>
      </c>
      <c r="P642" s="157" t="s">
        <v>57</v>
      </c>
      <c r="Q642" s="163" t="s">
        <v>891</v>
      </c>
      <c r="R642" s="162" t="s">
        <v>892</v>
      </c>
      <c r="S642" s="157" t="s">
        <v>2631</v>
      </c>
      <c r="T642" s="157">
        <v>0</v>
      </c>
      <c r="U642" s="157"/>
      <c r="V642" s="157"/>
      <c r="W642" s="175"/>
      <c r="X642" s="157"/>
      <c r="Y642" s="157"/>
      <c r="Z642" s="22"/>
      <c r="AA642" s="165" t="s">
        <v>2653</v>
      </c>
    </row>
    <row r="643" spans="1:27" customFormat="1" ht="52.5">
      <c r="A643" s="157" t="s">
        <v>548</v>
      </c>
      <c r="B643" s="157" t="s">
        <v>2790</v>
      </c>
      <c r="C643" s="158" t="s">
        <v>2858</v>
      </c>
      <c r="D643" s="175" t="s">
        <v>2852</v>
      </c>
      <c r="E643" s="163" t="s">
        <v>2460</v>
      </c>
      <c r="F643" s="157" t="s">
        <v>298</v>
      </c>
      <c r="G643" s="157" t="s">
        <v>2837</v>
      </c>
      <c r="H643" s="157" t="s">
        <v>164</v>
      </c>
      <c r="I643" s="163" t="s">
        <v>2853</v>
      </c>
      <c r="J643" s="157">
        <v>2025</v>
      </c>
      <c r="K643" s="157">
        <v>2028</v>
      </c>
      <c r="L643" s="163" t="s">
        <v>2851</v>
      </c>
      <c r="M643" s="163"/>
      <c r="N643" s="157"/>
      <c r="O643" s="163" t="s">
        <v>2840</v>
      </c>
      <c r="P643" s="157" t="s">
        <v>57</v>
      </c>
      <c r="Q643" s="163" t="s">
        <v>891</v>
      </c>
      <c r="R643" s="163" t="s">
        <v>1006</v>
      </c>
      <c r="S643" s="157" t="s">
        <v>2631</v>
      </c>
      <c r="T643" s="157">
        <v>0</v>
      </c>
      <c r="U643" s="157"/>
      <c r="V643" s="157"/>
      <c r="W643" s="175"/>
      <c r="X643" s="157"/>
      <c r="Y643" s="157"/>
      <c r="Z643" s="22"/>
      <c r="AA643" s="165" t="s">
        <v>2653</v>
      </c>
    </row>
    <row r="644" spans="1:27" customFormat="1" ht="52.5">
      <c r="A644" s="157" t="s">
        <v>548</v>
      </c>
      <c r="B644" s="157" t="s">
        <v>2790</v>
      </c>
      <c r="C644" s="158" t="s">
        <v>2858</v>
      </c>
      <c r="D644" s="175" t="s">
        <v>2836</v>
      </c>
      <c r="E644" s="163" t="s">
        <v>2460</v>
      </c>
      <c r="F644" s="157" t="s">
        <v>298</v>
      </c>
      <c r="G644" s="157" t="s">
        <v>2837</v>
      </c>
      <c r="H644" s="157" t="s">
        <v>164</v>
      </c>
      <c r="I644" s="163" t="s">
        <v>2842</v>
      </c>
      <c r="J644" s="157">
        <v>2025</v>
      </c>
      <c r="K644" s="157">
        <v>2028</v>
      </c>
      <c r="L644" s="163" t="s">
        <v>2843</v>
      </c>
      <c r="M644" s="163"/>
      <c r="N644" s="157"/>
      <c r="O644" s="163" t="s">
        <v>2840</v>
      </c>
      <c r="P644" s="157" t="s">
        <v>57</v>
      </c>
      <c r="Q644" s="163" t="s">
        <v>891</v>
      </c>
      <c r="R644" s="163" t="s">
        <v>1006</v>
      </c>
      <c r="S644" s="157" t="s">
        <v>2634</v>
      </c>
      <c r="T644" s="157">
        <v>20</v>
      </c>
      <c r="U644" s="157"/>
      <c r="V644" s="157" t="s">
        <v>2841</v>
      </c>
      <c r="W644" s="157" t="s">
        <v>2841</v>
      </c>
      <c r="X644" s="157" t="s">
        <v>2841</v>
      </c>
      <c r="Y644" s="157"/>
      <c r="Z644" s="22"/>
      <c r="AA644" s="165" t="s">
        <v>2653</v>
      </c>
    </row>
    <row r="645" spans="1:27" ht="35">
      <c r="A645" s="157" t="s">
        <v>548</v>
      </c>
      <c r="B645" s="157" t="s">
        <v>2790</v>
      </c>
      <c r="C645" s="158" t="s">
        <v>2858</v>
      </c>
      <c r="D645" s="175" t="s">
        <v>2836</v>
      </c>
      <c r="E645" s="163" t="s">
        <v>2460</v>
      </c>
      <c r="F645" s="157" t="s">
        <v>298</v>
      </c>
      <c r="G645" s="157" t="s">
        <v>2837</v>
      </c>
      <c r="H645" s="157" t="s">
        <v>164</v>
      </c>
      <c r="I645" s="163" t="s">
        <v>2838</v>
      </c>
      <c r="J645" s="157">
        <v>2025</v>
      </c>
      <c r="K645" s="157">
        <v>2028</v>
      </c>
      <c r="L645" s="163" t="s">
        <v>2839</v>
      </c>
      <c r="M645" s="163"/>
      <c r="N645" s="157"/>
      <c r="O645" s="163" t="s">
        <v>2840</v>
      </c>
      <c r="P645" s="157" t="s">
        <v>57</v>
      </c>
      <c r="Q645" s="163" t="s">
        <v>891</v>
      </c>
      <c r="R645" s="163" t="s">
        <v>1006</v>
      </c>
      <c r="S645" s="157" t="s">
        <v>2634</v>
      </c>
      <c r="T645" s="157">
        <v>30</v>
      </c>
      <c r="U645" s="157"/>
      <c r="V645" s="157" t="s">
        <v>2841</v>
      </c>
      <c r="W645" s="157" t="s">
        <v>2841</v>
      </c>
      <c r="X645" s="157" t="s">
        <v>2841</v>
      </c>
      <c r="Y645" s="157"/>
      <c r="AA645" s="165" t="s">
        <v>3116</v>
      </c>
    </row>
    <row r="646" spans="1:27" ht="35">
      <c r="A646" s="157" t="s">
        <v>548</v>
      </c>
      <c r="B646" s="157" t="s">
        <v>2790</v>
      </c>
      <c r="C646" s="158" t="s">
        <v>2858</v>
      </c>
      <c r="D646" s="175" t="s">
        <v>2836</v>
      </c>
      <c r="E646" s="163" t="s">
        <v>2460</v>
      </c>
      <c r="F646" s="157" t="s">
        <v>298</v>
      </c>
      <c r="G646" s="157" t="s">
        <v>2844</v>
      </c>
      <c r="H646" s="157" t="s">
        <v>164</v>
      </c>
      <c r="I646" s="163" t="s">
        <v>2845</v>
      </c>
      <c r="J646" s="157">
        <v>2025</v>
      </c>
      <c r="K646" s="157">
        <v>2029</v>
      </c>
      <c r="L646" s="163" t="s">
        <v>2846</v>
      </c>
      <c r="M646" s="163"/>
      <c r="N646" s="157"/>
      <c r="O646" s="163" t="s">
        <v>2840</v>
      </c>
      <c r="P646" s="157" t="s">
        <v>57</v>
      </c>
      <c r="Q646" s="163" t="s">
        <v>891</v>
      </c>
      <c r="R646" s="163" t="s">
        <v>1006</v>
      </c>
      <c r="S646" s="157" t="s">
        <v>2634</v>
      </c>
      <c r="T646" s="157">
        <v>20</v>
      </c>
      <c r="U646" s="157"/>
      <c r="V646" s="157" t="s">
        <v>2841</v>
      </c>
      <c r="W646" s="157" t="s">
        <v>2841</v>
      </c>
      <c r="X646" s="157" t="s">
        <v>2841</v>
      </c>
      <c r="Y646" s="157"/>
      <c r="AA646" s="165" t="s">
        <v>3116</v>
      </c>
    </row>
    <row r="647" spans="1:27">
      <c r="A647" s="157" t="s">
        <v>548</v>
      </c>
      <c r="B647" s="157" t="s">
        <v>2790</v>
      </c>
      <c r="C647" s="158" t="s">
        <v>2858</v>
      </c>
      <c r="D647" s="175" t="s">
        <v>2854</v>
      </c>
      <c r="E647" s="163" t="s">
        <v>2460</v>
      </c>
      <c r="F647" s="157" t="s">
        <v>298</v>
      </c>
      <c r="G647" s="157" t="s">
        <v>2855</v>
      </c>
      <c r="H647" s="157" t="s">
        <v>389</v>
      </c>
      <c r="I647" s="163" t="s">
        <v>2856</v>
      </c>
      <c r="J647" s="157">
        <v>2024</v>
      </c>
      <c r="K647" s="157">
        <v>2028</v>
      </c>
      <c r="L647" s="163" t="s">
        <v>2857</v>
      </c>
      <c r="M647" s="163"/>
      <c r="N647" s="157"/>
      <c r="O647" s="162" t="s">
        <v>604</v>
      </c>
      <c r="P647" s="157" t="s">
        <v>57</v>
      </c>
      <c r="Q647" s="163" t="s">
        <v>891</v>
      </c>
      <c r="R647" s="163" t="s">
        <v>1006</v>
      </c>
      <c r="S647" s="157" t="s">
        <v>2631</v>
      </c>
      <c r="T647" s="157">
        <v>0</v>
      </c>
      <c r="U647" s="157"/>
      <c r="V647" s="157"/>
      <c r="W647" s="175"/>
      <c r="X647" s="157"/>
      <c r="Y647" s="157"/>
      <c r="AA647" s="165" t="s">
        <v>2653</v>
      </c>
    </row>
    <row r="648" spans="1:27" ht="245">
      <c r="A648" s="157" t="s">
        <v>548</v>
      </c>
      <c r="B648" s="157" t="s">
        <v>698</v>
      </c>
      <c r="C648" s="158" t="s">
        <v>2858</v>
      </c>
      <c r="D648" s="175" t="s">
        <v>3113</v>
      </c>
      <c r="E648" s="163" t="s">
        <v>3114</v>
      </c>
      <c r="F648" s="157" t="s">
        <v>659</v>
      </c>
      <c r="G648" s="157" t="s">
        <v>3109</v>
      </c>
      <c r="H648" s="157" t="s">
        <v>164</v>
      </c>
      <c r="I648" s="163" t="s">
        <v>3115</v>
      </c>
      <c r="J648" s="157">
        <v>2023</v>
      </c>
      <c r="K648" s="157">
        <v>2025</v>
      </c>
      <c r="L648" s="163" t="s">
        <v>3111</v>
      </c>
      <c r="M648" s="163" t="s">
        <v>3125</v>
      </c>
      <c r="N648" s="157" t="s">
        <v>3146</v>
      </c>
      <c r="O648" s="162" t="s">
        <v>604</v>
      </c>
      <c r="P648" s="157" t="s">
        <v>57</v>
      </c>
      <c r="Q648" s="163" t="s">
        <v>891</v>
      </c>
      <c r="R648" s="163" t="s">
        <v>1006</v>
      </c>
      <c r="S648" s="157" t="s">
        <v>2631</v>
      </c>
      <c r="T648" s="157">
        <v>0</v>
      </c>
      <c r="U648" s="157"/>
      <c r="V648" s="157"/>
      <c r="W648" s="175"/>
      <c r="X648" s="157"/>
      <c r="Y648" s="157"/>
      <c r="AA648" s="66" t="s">
        <v>2794</v>
      </c>
    </row>
    <row r="649" spans="1:27" ht="280">
      <c r="A649" s="157" t="s">
        <v>548</v>
      </c>
      <c r="B649" s="157" t="s">
        <v>698</v>
      </c>
      <c r="C649" s="158" t="s">
        <v>2858</v>
      </c>
      <c r="D649" s="175" t="s">
        <v>3107</v>
      </c>
      <c r="E649" s="163" t="s">
        <v>3108</v>
      </c>
      <c r="F649" s="157" t="s">
        <v>659</v>
      </c>
      <c r="G649" s="157" t="s">
        <v>3109</v>
      </c>
      <c r="H649" s="157" t="s">
        <v>164</v>
      </c>
      <c r="I649" s="163" t="s">
        <v>3110</v>
      </c>
      <c r="J649" s="157">
        <v>2023</v>
      </c>
      <c r="K649" s="157">
        <v>2025</v>
      </c>
      <c r="L649" s="163" t="s">
        <v>3111</v>
      </c>
      <c r="M649" s="163" t="s">
        <v>3124</v>
      </c>
      <c r="N649" s="157" t="s">
        <v>3112</v>
      </c>
      <c r="O649" s="162" t="s">
        <v>604</v>
      </c>
      <c r="P649" s="157" t="s">
        <v>57</v>
      </c>
      <c r="Q649" s="163" t="s">
        <v>891</v>
      </c>
      <c r="R649" s="163" t="s">
        <v>1006</v>
      </c>
      <c r="S649" s="157" t="s">
        <v>2631</v>
      </c>
      <c r="T649" s="157">
        <v>0</v>
      </c>
      <c r="U649" s="157"/>
      <c r="V649" s="157"/>
      <c r="W649" s="175"/>
      <c r="X649" s="157"/>
      <c r="Y649" s="157"/>
      <c r="AA649" s="66"/>
    </row>
    <row r="650" spans="1:27" ht="52.5">
      <c r="A650" s="157" t="s">
        <v>456</v>
      </c>
      <c r="B650" s="157" t="s">
        <v>482</v>
      </c>
      <c r="C650" s="158" t="s">
        <v>2858</v>
      </c>
      <c r="D650" s="175" t="s">
        <v>2726</v>
      </c>
      <c r="E650" s="163" t="s">
        <v>2727</v>
      </c>
      <c r="F650" s="157" t="s">
        <v>770</v>
      </c>
      <c r="G650" s="163" t="s">
        <v>962</v>
      </c>
      <c r="H650" s="157" t="s">
        <v>164</v>
      </c>
      <c r="I650" s="175" t="s">
        <v>2728</v>
      </c>
      <c r="J650" s="157">
        <v>2023</v>
      </c>
      <c r="K650" s="163">
        <v>2026</v>
      </c>
      <c r="L650" s="163" t="s">
        <v>2729</v>
      </c>
      <c r="M650" s="163"/>
      <c r="N650" s="157"/>
      <c r="O650" s="163" t="s">
        <v>604</v>
      </c>
      <c r="P650" s="163" t="s">
        <v>57</v>
      </c>
      <c r="Q650" s="163" t="s">
        <v>864</v>
      </c>
      <c r="R650" s="162" t="s">
        <v>43</v>
      </c>
      <c r="S650" s="157" t="s">
        <v>2629</v>
      </c>
      <c r="T650" s="164">
        <v>2</v>
      </c>
      <c r="U650" s="164"/>
      <c r="V650" s="163" t="s">
        <v>2721</v>
      </c>
      <c r="W650" s="172" t="s">
        <v>2722</v>
      </c>
      <c r="X650" s="164" t="s">
        <v>2723</v>
      </c>
      <c r="Y650" s="157" t="s">
        <v>2724</v>
      </c>
      <c r="AA650" s="165" t="s">
        <v>2653</v>
      </c>
    </row>
    <row r="651" spans="1:27" ht="35">
      <c r="A651" s="157" t="s">
        <v>456</v>
      </c>
      <c r="B651" s="157" t="s">
        <v>495</v>
      </c>
      <c r="C651" s="158" t="s">
        <v>2858</v>
      </c>
      <c r="D651" s="175" t="s">
        <v>2718</v>
      </c>
      <c r="E651" s="178"/>
      <c r="F651" s="157" t="s">
        <v>534</v>
      </c>
      <c r="G651" s="163">
        <v>3079.2</v>
      </c>
      <c r="H651" s="157" t="s">
        <v>164</v>
      </c>
      <c r="I651" s="177" t="s">
        <v>2719</v>
      </c>
      <c r="J651" s="157">
        <v>2024</v>
      </c>
      <c r="K651" s="157">
        <v>2026</v>
      </c>
      <c r="L651" s="163" t="s">
        <v>2720</v>
      </c>
      <c r="M651" s="163"/>
      <c r="N651" s="179" t="s">
        <v>3184</v>
      </c>
      <c r="O651" s="162" t="s">
        <v>604</v>
      </c>
      <c r="P651" s="157" t="s">
        <v>57</v>
      </c>
      <c r="Q651" s="163" t="s">
        <v>864</v>
      </c>
      <c r="R651" s="162" t="s">
        <v>43</v>
      </c>
      <c r="S651" s="157" t="s">
        <v>2631</v>
      </c>
      <c r="T651" s="12">
        <v>0</v>
      </c>
      <c r="U651" s="12"/>
      <c r="V651" s="17"/>
      <c r="W651" s="38"/>
      <c r="X651" s="12"/>
      <c r="Y651" s="17"/>
      <c r="AA651" s="66"/>
    </row>
    <row r="652" spans="1:27">
      <c r="S652" s="28"/>
      <c r="T652" s="12"/>
      <c r="U652" s="12"/>
      <c r="V652" s="17"/>
      <c r="W652" s="38"/>
      <c r="X652" s="12"/>
      <c r="Y652" s="17"/>
    </row>
    <row r="653" spans="1:27">
      <c r="S653" s="28"/>
      <c r="T653" s="12"/>
      <c r="U653" s="12"/>
      <c r="V653" s="17"/>
      <c r="W653" s="38"/>
      <c r="X653" s="12"/>
      <c r="Y653" s="17"/>
    </row>
    <row r="654" spans="1:27">
      <c r="S654" s="28"/>
      <c r="T654" s="12"/>
      <c r="U654" s="12"/>
      <c r="V654" s="17"/>
      <c r="W654" s="38"/>
      <c r="X654" s="12"/>
      <c r="Y654" s="17"/>
    </row>
    <row r="655" spans="1:27">
      <c r="S655" s="28"/>
      <c r="T655" s="12"/>
      <c r="U655" s="12"/>
      <c r="V655" s="17"/>
      <c r="W655" s="38"/>
      <c r="X655" s="12"/>
      <c r="Y655" s="17"/>
    </row>
    <row r="656" spans="1:27">
      <c r="S656" s="28"/>
      <c r="T656" s="12"/>
      <c r="U656" s="12"/>
      <c r="V656" s="17"/>
      <c r="W656" s="38"/>
      <c r="X656" s="12"/>
      <c r="Y656" s="17"/>
    </row>
    <row r="657" spans="19:25">
      <c r="S657" s="28"/>
      <c r="T657" s="12"/>
      <c r="U657" s="12"/>
      <c r="V657" s="17"/>
      <c r="W657" s="38"/>
      <c r="X657" s="12"/>
      <c r="Y657" s="17"/>
    </row>
    <row r="658" spans="19:25">
      <c r="S658" s="28"/>
      <c r="T658" s="12"/>
      <c r="U658" s="12"/>
      <c r="V658" s="17"/>
      <c r="W658" s="38"/>
      <c r="X658" s="12"/>
      <c r="Y658" s="17"/>
    </row>
    <row r="659" spans="19:25">
      <c r="S659" s="28"/>
      <c r="T659" s="12"/>
      <c r="U659" s="12"/>
      <c r="V659" s="17"/>
      <c r="W659" s="38"/>
      <c r="X659" s="12"/>
      <c r="Y659" s="17"/>
    </row>
    <row r="660" spans="19:25">
      <c r="S660" s="28"/>
      <c r="T660" s="12"/>
      <c r="U660" s="12"/>
      <c r="V660" s="17"/>
      <c r="W660" s="38"/>
      <c r="X660" s="12"/>
      <c r="Y660" s="17"/>
    </row>
    <row r="661" spans="19:25">
      <c r="S661" s="28"/>
      <c r="T661" s="12"/>
      <c r="U661" s="12"/>
      <c r="V661" s="17"/>
      <c r="W661" s="38"/>
      <c r="X661" s="12"/>
      <c r="Y661" s="17"/>
    </row>
    <row r="662" spans="19:25">
      <c r="S662" s="28"/>
      <c r="T662" s="12"/>
      <c r="U662" s="12"/>
      <c r="V662" s="17"/>
      <c r="W662" s="38"/>
      <c r="X662" s="12"/>
      <c r="Y662" s="17"/>
    </row>
    <row r="663" spans="19:25">
      <c r="S663" s="28"/>
      <c r="T663" s="12"/>
      <c r="U663" s="12"/>
      <c r="V663" s="17"/>
      <c r="W663" s="38"/>
      <c r="X663" s="12"/>
      <c r="Y663" s="17"/>
    </row>
    <row r="664" spans="19:25">
      <c r="S664" s="28"/>
      <c r="T664" s="12"/>
      <c r="U664" s="12"/>
      <c r="V664" s="17"/>
      <c r="W664" s="38"/>
      <c r="X664" s="12"/>
      <c r="Y664" s="17"/>
    </row>
    <row r="665" spans="19:25">
      <c r="S665" s="28"/>
      <c r="T665" s="12"/>
      <c r="U665" s="12"/>
      <c r="V665" s="17"/>
      <c r="W665" s="38"/>
      <c r="X665" s="12"/>
      <c r="Y665" s="17"/>
    </row>
    <row r="666" spans="19:25">
      <c r="S666" s="28"/>
      <c r="T666" s="12"/>
      <c r="U666" s="12"/>
      <c r="V666" s="17"/>
      <c r="W666" s="38"/>
      <c r="X666" s="12"/>
      <c r="Y666" s="17"/>
    </row>
    <row r="667" spans="19:25">
      <c r="S667" s="28"/>
      <c r="T667" s="12"/>
      <c r="U667" s="12"/>
      <c r="V667" s="17"/>
      <c r="W667" s="38"/>
      <c r="X667" s="12"/>
      <c r="Y667" s="17"/>
    </row>
    <row r="668" spans="19:25">
      <c r="S668" s="28"/>
      <c r="T668" s="12"/>
      <c r="U668" s="12"/>
      <c r="V668" s="17"/>
      <c r="W668" s="38"/>
      <c r="X668" s="12"/>
      <c r="Y668" s="17"/>
    </row>
    <row r="669" spans="19:25">
      <c r="S669" s="28"/>
      <c r="T669" s="12"/>
      <c r="U669" s="12"/>
      <c r="V669" s="17"/>
      <c r="W669" s="38"/>
      <c r="X669" s="12"/>
      <c r="Y669" s="17"/>
    </row>
    <row r="670" spans="19:25">
      <c r="S670" s="28"/>
      <c r="T670" s="12"/>
      <c r="U670" s="12"/>
      <c r="V670" s="17"/>
      <c r="W670" s="38"/>
      <c r="X670" s="12"/>
      <c r="Y670" s="17"/>
    </row>
    <row r="671" spans="19:25">
      <c r="S671" s="28"/>
      <c r="T671" s="12"/>
      <c r="U671" s="12"/>
      <c r="V671" s="17"/>
      <c r="W671" s="38"/>
      <c r="X671" s="12"/>
      <c r="Y671" s="17"/>
    </row>
    <row r="672" spans="19:25">
      <c r="S672" s="28"/>
      <c r="T672" s="12"/>
      <c r="U672" s="12"/>
      <c r="V672" s="17"/>
      <c r="W672" s="38"/>
      <c r="X672" s="12"/>
      <c r="Y672" s="17"/>
    </row>
    <row r="673" spans="19:25">
      <c r="S673" s="28"/>
      <c r="T673" s="12"/>
      <c r="U673" s="12"/>
      <c r="V673" s="17"/>
      <c r="W673" s="38"/>
      <c r="X673" s="12"/>
      <c r="Y673" s="17"/>
    </row>
    <row r="674" spans="19:25">
      <c r="S674" s="28"/>
      <c r="T674" s="12"/>
      <c r="U674" s="12"/>
      <c r="V674" s="17"/>
      <c r="W674" s="38"/>
      <c r="X674" s="12"/>
      <c r="Y674" s="17"/>
    </row>
    <row r="675" spans="19:25">
      <c r="S675" s="28"/>
      <c r="T675" s="12"/>
      <c r="U675" s="12"/>
      <c r="V675" s="17"/>
      <c r="W675" s="38"/>
      <c r="X675" s="12"/>
      <c r="Y675" s="17"/>
    </row>
    <row r="676" spans="19:25">
      <c r="S676" s="28"/>
      <c r="T676" s="12"/>
      <c r="U676" s="12"/>
      <c r="V676" s="17"/>
      <c r="W676" s="38"/>
      <c r="X676" s="12"/>
      <c r="Y676" s="17"/>
    </row>
    <row r="677" spans="19:25">
      <c r="S677" s="28"/>
      <c r="T677" s="12"/>
      <c r="U677" s="12"/>
      <c r="V677" s="17"/>
      <c r="W677" s="38"/>
      <c r="X677" s="12"/>
      <c r="Y677" s="17"/>
    </row>
    <row r="678" spans="19:25">
      <c r="S678" s="28"/>
      <c r="T678" s="12"/>
      <c r="U678" s="12"/>
      <c r="V678" s="17"/>
      <c r="W678" s="38"/>
      <c r="X678" s="12"/>
      <c r="Y678" s="17"/>
    </row>
    <row r="679" spans="19:25">
      <c r="S679" s="28"/>
      <c r="T679" s="12"/>
      <c r="U679" s="12"/>
      <c r="V679" s="17"/>
      <c r="W679" s="38"/>
      <c r="X679" s="12"/>
      <c r="Y679" s="17"/>
    </row>
    <row r="680" spans="19:25">
      <c r="S680" s="28"/>
      <c r="T680" s="12"/>
      <c r="U680" s="12"/>
      <c r="V680" s="17"/>
      <c r="W680" s="38"/>
      <c r="X680" s="12"/>
      <c r="Y680" s="17"/>
    </row>
    <row r="681" spans="19:25">
      <c r="S681" s="28"/>
      <c r="T681" s="12"/>
      <c r="U681" s="12"/>
      <c r="V681" s="17"/>
      <c r="W681" s="38"/>
      <c r="X681" s="12"/>
      <c r="Y681" s="17"/>
    </row>
    <row r="682" spans="19:25">
      <c r="S682" s="28"/>
      <c r="T682" s="12"/>
      <c r="U682" s="12"/>
      <c r="V682" s="17"/>
      <c r="W682" s="38"/>
      <c r="X682" s="12"/>
      <c r="Y682" s="17"/>
    </row>
    <row r="683" spans="19:25">
      <c r="S683" s="28"/>
      <c r="T683" s="12"/>
      <c r="U683" s="12"/>
      <c r="V683" s="17"/>
      <c r="W683" s="38"/>
      <c r="X683" s="12"/>
      <c r="Y683" s="17"/>
    </row>
    <row r="684" spans="19:25">
      <c r="S684" s="28"/>
      <c r="T684" s="12"/>
      <c r="U684" s="12"/>
      <c r="V684" s="17"/>
      <c r="W684" s="38"/>
      <c r="X684" s="12"/>
      <c r="Y684" s="17"/>
    </row>
    <row r="685" spans="19:25">
      <c r="S685" s="28"/>
      <c r="T685" s="12"/>
      <c r="U685" s="12"/>
      <c r="V685" s="17"/>
      <c r="W685" s="38"/>
      <c r="X685" s="12"/>
      <c r="Y685" s="17"/>
    </row>
    <row r="686" spans="19:25">
      <c r="S686" s="28"/>
      <c r="T686" s="12"/>
      <c r="U686" s="12"/>
      <c r="V686" s="17"/>
      <c r="W686" s="38"/>
      <c r="X686" s="12"/>
      <c r="Y686" s="17"/>
    </row>
    <row r="687" spans="19:25">
      <c r="S687" s="28"/>
      <c r="T687" s="12"/>
      <c r="U687" s="12"/>
      <c r="V687" s="17"/>
      <c r="W687" s="38"/>
      <c r="X687" s="12"/>
      <c r="Y687" s="17"/>
    </row>
    <row r="688" spans="19:25">
      <c r="S688" s="28"/>
      <c r="T688" s="12"/>
      <c r="U688" s="12"/>
      <c r="V688" s="17"/>
      <c r="W688" s="38"/>
      <c r="X688" s="12"/>
      <c r="Y688" s="17"/>
    </row>
    <row r="689" spans="19:25">
      <c r="S689" s="28"/>
      <c r="T689" s="12"/>
      <c r="U689" s="12"/>
      <c r="V689" s="17"/>
      <c r="W689" s="38"/>
      <c r="X689" s="12"/>
      <c r="Y689" s="17"/>
    </row>
    <row r="690" spans="19:25">
      <c r="S690" s="28"/>
      <c r="T690" s="12"/>
      <c r="U690" s="12"/>
      <c r="V690" s="17"/>
      <c r="W690" s="38"/>
      <c r="X690" s="12"/>
      <c r="Y690" s="17"/>
    </row>
    <row r="691" spans="19:25">
      <c r="S691" s="28"/>
      <c r="T691" s="12"/>
      <c r="U691" s="12"/>
      <c r="V691" s="17"/>
      <c r="W691" s="38"/>
      <c r="X691" s="12"/>
      <c r="Y691" s="17"/>
    </row>
    <row r="692" spans="19:25">
      <c r="S692" s="28"/>
      <c r="T692" s="12"/>
      <c r="U692" s="12"/>
      <c r="V692" s="17"/>
      <c r="W692" s="38"/>
      <c r="X692" s="12"/>
      <c r="Y692" s="17"/>
    </row>
    <row r="693" spans="19:25">
      <c r="S693" s="28"/>
      <c r="T693" s="12"/>
      <c r="U693" s="12"/>
      <c r="V693" s="17"/>
      <c r="W693" s="38"/>
      <c r="X693" s="12"/>
      <c r="Y693" s="17"/>
    </row>
    <row r="694" spans="19:25">
      <c r="S694" s="28"/>
      <c r="T694" s="12"/>
      <c r="U694" s="12"/>
      <c r="V694" s="17"/>
      <c r="W694" s="38"/>
      <c r="X694" s="12"/>
      <c r="Y694" s="17"/>
    </row>
    <row r="695" spans="19:25">
      <c r="S695" s="28"/>
      <c r="T695" s="12"/>
      <c r="U695" s="12"/>
      <c r="V695" s="17"/>
      <c r="W695" s="38"/>
      <c r="X695" s="12"/>
      <c r="Y695" s="17"/>
    </row>
    <row r="696" spans="19:25">
      <c r="S696" s="28"/>
      <c r="T696" s="12"/>
      <c r="U696" s="12"/>
      <c r="V696" s="17"/>
      <c r="W696" s="38"/>
      <c r="X696" s="12"/>
      <c r="Y696" s="17"/>
    </row>
    <row r="697" spans="19:25">
      <c r="S697" s="28"/>
      <c r="T697" s="12"/>
      <c r="U697" s="12"/>
      <c r="V697" s="17"/>
      <c r="W697" s="38"/>
      <c r="X697" s="12"/>
      <c r="Y697" s="17"/>
    </row>
    <row r="698" spans="19:25">
      <c r="S698" s="28"/>
      <c r="T698" s="12"/>
      <c r="U698" s="12"/>
      <c r="V698" s="17"/>
      <c r="W698" s="38"/>
      <c r="X698" s="12"/>
      <c r="Y698" s="17"/>
    </row>
    <row r="699" spans="19:25">
      <c r="S699" s="28"/>
      <c r="T699" s="12"/>
      <c r="U699" s="12"/>
      <c r="V699" s="17"/>
      <c r="W699" s="38"/>
      <c r="X699" s="12"/>
      <c r="Y699" s="17"/>
    </row>
    <row r="700" spans="19:25">
      <c r="S700" s="28"/>
      <c r="T700" s="12"/>
      <c r="U700" s="12"/>
      <c r="V700" s="17"/>
      <c r="W700" s="38"/>
      <c r="X700" s="12"/>
      <c r="Y700" s="17"/>
    </row>
    <row r="701" spans="19:25">
      <c r="S701" s="28"/>
      <c r="T701" s="12"/>
      <c r="U701" s="12"/>
      <c r="V701" s="17"/>
      <c r="W701" s="38"/>
      <c r="X701" s="12"/>
      <c r="Y701" s="17"/>
    </row>
    <row r="702" spans="19:25">
      <c r="S702" s="28"/>
      <c r="T702" s="12"/>
      <c r="U702" s="12"/>
      <c r="V702" s="17"/>
      <c r="W702" s="38"/>
      <c r="X702" s="12"/>
      <c r="Y702" s="17"/>
    </row>
    <row r="703" spans="19:25">
      <c r="S703" s="28"/>
      <c r="T703" s="12"/>
      <c r="U703" s="12"/>
      <c r="V703" s="17"/>
      <c r="W703" s="38"/>
      <c r="X703" s="12"/>
      <c r="Y703" s="17"/>
    </row>
    <row r="704" spans="19:25">
      <c r="S704" s="28"/>
      <c r="T704" s="12"/>
      <c r="U704" s="12"/>
      <c r="V704" s="17"/>
      <c r="W704" s="38"/>
      <c r="X704" s="12"/>
      <c r="Y704" s="17"/>
    </row>
    <row r="705" spans="19:25">
      <c r="S705" s="28"/>
      <c r="T705" s="12"/>
      <c r="U705" s="12"/>
      <c r="V705" s="17"/>
      <c r="W705" s="38"/>
      <c r="X705" s="12"/>
      <c r="Y705" s="17"/>
    </row>
    <row r="706" spans="19:25">
      <c r="S706" s="28"/>
      <c r="T706" s="12"/>
      <c r="U706" s="12"/>
      <c r="V706" s="17"/>
      <c r="W706" s="38"/>
      <c r="X706" s="12"/>
      <c r="Y706" s="17"/>
    </row>
    <row r="707" spans="19:25">
      <c r="S707" s="28"/>
      <c r="T707" s="12"/>
      <c r="U707" s="12"/>
      <c r="V707" s="17"/>
      <c r="W707" s="38"/>
      <c r="X707" s="12"/>
      <c r="Y707" s="17"/>
    </row>
    <row r="708" spans="19:25">
      <c r="S708" s="28"/>
      <c r="T708" s="12"/>
      <c r="U708" s="12"/>
      <c r="V708" s="17"/>
      <c r="W708" s="38"/>
      <c r="X708" s="12"/>
      <c r="Y708" s="17"/>
    </row>
    <row r="709" spans="19:25">
      <c r="S709" s="28"/>
      <c r="T709" s="12"/>
      <c r="U709" s="12"/>
      <c r="V709" s="17"/>
      <c r="W709" s="38"/>
      <c r="X709" s="12"/>
      <c r="Y709" s="17"/>
    </row>
    <row r="710" spans="19:25">
      <c r="S710" s="28"/>
      <c r="T710" s="12"/>
      <c r="U710" s="12"/>
      <c r="V710" s="17"/>
      <c r="W710" s="38"/>
      <c r="X710" s="12"/>
      <c r="Y710" s="17"/>
    </row>
    <row r="711" spans="19:25">
      <c r="S711" s="28"/>
      <c r="T711" s="12"/>
      <c r="U711" s="12"/>
      <c r="V711" s="17"/>
      <c r="W711" s="38"/>
      <c r="X711" s="12"/>
      <c r="Y711" s="17"/>
    </row>
    <row r="712" spans="19:25">
      <c r="S712" s="28"/>
      <c r="T712" s="12"/>
      <c r="U712" s="12"/>
      <c r="V712" s="17"/>
      <c r="W712" s="38"/>
      <c r="X712" s="12"/>
      <c r="Y712" s="17"/>
    </row>
    <row r="713" spans="19:25">
      <c r="S713" s="28"/>
      <c r="T713" s="12"/>
      <c r="U713" s="12"/>
      <c r="V713" s="17"/>
      <c r="W713" s="38"/>
      <c r="X713" s="12"/>
      <c r="Y713" s="17"/>
    </row>
    <row r="714" spans="19:25">
      <c r="S714" s="28"/>
      <c r="T714" s="12"/>
      <c r="U714" s="12"/>
      <c r="V714" s="17"/>
      <c r="W714" s="38"/>
      <c r="X714" s="12"/>
      <c r="Y714" s="17"/>
    </row>
    <row r="715" spans="19:25">
      <c r="S715" s="28"/>
      <c r="T715" s="12"/>
      <c r="U715" s="12"/>
      <c r="V715" s="17"/>
      <c r="W715" s="38"/>
      <c r="X715" s="12"/>
      <c r="Y715" s="17"/>
    </row>
    <row r="716" spans="19:25">
      <c r="S716" s="28"/>
      <c r="T716" s="12"/>
      <c r="U716" s="12"/>
      <c r="V716" s="17"/>
      <c r="W716" s="38"/>
      <c r="X716" s="12"/>
      <c r="Y716" s="17"/>
    </row>
    <row r="717" spans="19:25">
      <c r="S717" s="28"/>
      <c r="T717" s="12"/>
      <c r="U717" s="12"/>
      <c r="V717" s="17"/>
      <c r="W717" s="38"/>
      <c r="X717" s="12"/>
      <c r="Y717" s="17"/>
    </row>
    <row r="718" spans="19:25">
      <c r="S718" s="28"/>
      <c r="T718" s="12"/>
      <c r="U718" s="12"/>
      <c r="V718" s="17"/>
      <c r="W718" s="38"/>
      <c r="X718" s="12"/>
      <c r="Y718" s="17"/>
    </row>
    <row r="719" spans="19:25">
      <c r="S719" s="28"/>
      <c r="T719" s="12"/>
      <c r="U719" s="12"/>
      <c r="V719" s="17"/>
      <c r="W719" s="38"/>
      <c r="X719" s="12"/>
      <c r="Y719" s="17"/>
    </row>
    <row r="720" spans="19:25">
      <c r="S720" s="28"/>
      <c r="T720" s="12"/>
      <c r="U720" s="12"/>
      <c r="V720" s="17"/>
      <c r="W720" s="38"/>
      <c r="X720" s="12"/>
      <c r="Y720" s="17"/>
    </row>
    <row r="721" spans="19:25">
      <c r="S721" s="28"/>
      <c r="T721" s="12"/>
      <c r="U721" s="12"/>
      <c r="V721" s="17"/>
      <c r="W721" s="38"/>
      <c r="X721" s="12"/>
      <c r="Y721" s="17"/>
    </row>
    <row r="722" spans="19:25">
      <c r="S722" s="28"/>
      <c r="T722" s="12"/>
      <c r="U722" s="12"/>
      <c r="V722" s="17"/>
      <c r="W722" s="38"/>
      <c r="X722" s="12"/>
      <c r="Y722" s="17"/>
    </row>
    <row r="723" spans="19:25">
      <c r="S723" s="28"/>
      <c r="T723" s="12"/>
      <c r="U723" s="12"/>
      <c r="V723" s="17"/>
      <c r="W723" s="38"/>
      <c r="X723" s="12"/>
      <c r="Y723" s="17"/>
    </row>
    <row r="724" spans="19:25">
      <c r="S724" s="28"/>
      <c r="T724" s="12"/>
      <c r="U724" s="12"/>
      <c r="V724" s="17"/>
      <c r="W724" s="38"/>
      <c r="X724" s="12"/>
      <c r="Y724" s="17"/>
    </row>
    <row r="725" spans="19:25">
      <c r="S725" s="28"/>
      <c r="T725" s="12"/>
      <c r="U725" s="12"/>
      <c r="V725" s="17"/>
      <c r="W725" s="38"/>
      <c r="X725" s="12"/>
      <c r="Y725" s="17"/>
    </row>
    <row r="726" spans="19:25">
      <c r="S726" s="28"/>
      <c r="T726" s="12"/>
      <c r="U726" s="12"/>
      <c r="V726" s="17"/>
      <c r="W726" s="38"/>
      <c r="X726" s="12"/>
      <c r="Y726" s="17"/>
    </row>
    <row r="727" spans="19:25">
      <c r="S727" s="28"/>
      <c r="T727" s="12"/>
      <c r="U727" s="12"/>
      <c r="V727" s="17"/>
      <c r="W727" s="38"/>
      <c r="X727" s="12"/>
      <c r="Y727" s="17"/>
    </row>
    <row r="728" spans="19:25">
      <c r="S728" s="28"/>
      <c r="T728" s="12"/>
      <c r="U728" s="12"/>
      <c r="V728" s="17"/>
      <c r="W728" s="38"/>
      <c r="X728" s="12"/>
      <c r="Y728" s="17"/>
    </row>
    <row r="729" spans="19:25">
      <c r="S729" s="28"/>
      <c r="T729" s="12"/>
      <c r="U729" s="12"/>
      <c r="V729" s="17"/>
      <c r="W729" s="38"/>
      <c r="X729" s="12"/>
      <c r="Y729" s="17"/>
    </row>
    <row r="730" spans="19:25">
      <c r="S730" s="28"/>
      <c r="T730" s="12"/>
      <c r="U730" s="12"/>
      <c r="V730" s="17"/>
      <c r="W730" s="38"/>
      <c r="X730" s="12"/>
      <c r="Y730" s="17"/>
    </row>
    <row r="731" spans="19:25">
      <c r="S731" s="28"/>
      <c r="T731" s="12"/>
      <c r="U731" s="12"/>
      <c r="V731" s="17"/>
      <c r="W731" s="38"/>
      <c r="X731" s="12"/>
      <c r="Y731" s="17"/>
    </row>
    <row r="732" spans="19:25">
      <c r="S732" s="28"/>
      <c r="T732" s="12"/>
      <c r="U732" s="12"/>
      <c r="V732" s="17"/>
      <c r="W732" s="38"/>
      <c r="X732" s="12"/>
      <c r="Y732" s="17"/>
    </row>
    <row r="733" spans="19:25">
      <c r="S733" s="28"/>
      <c r="T733" s="12"/>
      <c r="U733" s="12"/>
      <c r="V733" s="17"/>
      <c r="W733" s="38"/>
      <c r="X733" s="12"/>
      <c r="Y733" s="17"/>
    </row>
    <row r="734" spans="19:25">
      <c r="S734" s="28"/>
      <c r="T734" s="12"/>
      <c r="U734" s="12"/>
      <c r="V734" s="17"/>
      <c r="W734" s="38"/>
      <c r="X734" s="12"/>
      <c r="Y734" s="17"/>
    </row>
    <row r="735" spans="19:25">
      <c r="S735" s="28"/>
      <c r="T735" s="12"/>
      <c r="U735" s="12"/>
      <c r="V735" s="17"/>
      <c r="W735" s="38"/>
      <c r="X735" s="12"/>
      <c r="Y735" s="17"/>
    </row>
    <row r="736" spans="19:25">
      <c r="S736" s="28"/>
      <c r="T736" s="12"/>
      <c r="U736" s="12"/>
      <c r="V736" s="17"/>
      <c r="W736" s="38"/>
      <c r="X736" s="12"/>
      <c r="Y736" s="17"/>
    </row>
    <row r="737" spans="19:25">
      <c r="S737" s="28"/>
      <c r="T737" s="12"/>
      <c r="U737" s="12"/>
      <c r="V737" s="17"/>
      <c r="W737" s="38"/>
      <c r="X737" s="12"/>
      <c r="Y737" s="17"/>
    </row>
    <row r="738" spans="19:25">
      <c r="S738" s="28"/>
      <c r="T738" s="12"/>
      <c r="U738" s="12"/>
      <c r="V738" s="17"/>
      <c r="W738" s="38"/>
      <c r="X738" s="12"/>
      <c r="Y738" s="17"/>
    </row>
    <row r="739" spans="19:25">
      <c r="S739" s="28"/>
      <c r="T739" s="12"/>
      <c r="U739" s="12"/>
      <c r="V739" s="17"/>
      <c r="W739" s="38"/>
      <c r="X739" s="12"/>
      <c r="Y739" s="17"/>
    </row>
    <row r="740" spans="19:25">
      <c r="S740" s="28"/>
      <c r="T740" s="12"/>
      <c r="U740" s="12"/>
      <c r="V740" s="17"/>
      <c r="W740" s="38"/>
      <c r="X740" s="12"/>
      <c r="Y740" s="17"/>
    </row>
    <row r="741" spans="19:25">
      <c r="S741" s="28"/>
      <c r="T741" s="12"/>
      <c r="U741" s="12"/>
      <c r="V741" s="17"/>
      <c r="W741" s="38"/>
      <c r="X741" s="12"/>
      <c r="Y741" s="17"/>
    </row>
    <row r="742" spans="19:25">
      <c r="S742" s="28"/>
      <c r="T742" s="12"/>
      <c r="U742" s="12"/>
      <c r="V742" s="17"/>
      <c r="W742" s="38"/>
      <c r="X742" s="12"/>
      <c r="Y742" s="17"/>
    </row>
    <row r="743" spans="19:25">
      <c r="S743" s="28"/>
      <c r="T743" s="12"/>
      <c r="U743" s="12"/>
      <c r="V743" s="17"/>
      <c r="W743" s="38"/>
      <c r="X743" s="12"/>
      <c r="Y743" s="17"/>
    </row>
    <row r="744" spans="19:25">
      <c r="S744" s="28"/>
      <c r="T744" s="12"/>
      <c r="U744" s="12"/>
      <c r="V744" s="17"/>
      <c r="W744" s="38"/>
      <c r="X744" s="12"/>
      <c r="Y744" s="17"/>
    </row>
    <row r="745" spans="19:25">
      <c r="S745" s="28"/>
      <c r="T745" s="12"/>
      <c r="U745" s="12"/>
      <c r="V745" s="17"/>
      <c r="W745" s="38"/>
      <c r="X745" s="12"/>
      <c r="Y745" s="17"/>
    </row>
    <row r="746" spans="19:25">
      <c r="S746" s="28"/>
      <c r="T746" s="12"/>
      <c r="U746" s="12"/>
      <c r="V746" s="17"/>
      <c r="W746" s="38"/>
      <c r="X746" s="12"/>
      <c r="Y746" s="17"/>
    </row>
    <row r="747" spans="19:25">
      <c r="S747" s="28"/>
      <c r="T747" s="12"/>
      <c r="U747" s="12"/>
      <c r="V747" s="17"/>
      <c r="W747" s="38"/>
      <c r="X747" s="12"/>
      <c r="Y747" s="17"/>
    </row>
    <row r="748" spans="19:25">
      <c r="S748" s="28"/>
      <c r="T748" s="12"/>
      <c r="U748" s="12"/>
      <c r="V748" s="17"/>
      <c r="W748" s="38"/>
      <c r="X748" s="12"/>
      <c r="Y748" s="17"/>
    </row>
    <row r="749" spans="19:25">
      <c r="S749" s="28"/>
      <c r="T749" s="12"/>
      <c r="U749" s="12"/>
      <c r="V749" s="17"/>
      <c r="W749" s="38"/>
      <c r="X749" s="12"/>
      <c r="Y749" s="17"/>
    </row>
    <row r="750" spans="19:25">
      <c r="S750" s="28"/>
      <c r="T750" s="12"/>
      <c r="U750" s="12"/>
      <c r="V750" s="17"/>
      <c r="W750" s="38"/>
      <c r="X750" s="12"/>
      <c r="Y750" s="17"/>
    </row>
    <row r="751" spans="19:25">
      <c r="S751" s="28"/>
      <c r="T751" s="12"/>
      <c r="U751" s="12"/>
      <c r="V751" s="17"/>
      <c r="W751" s="38"/>
      <c r="X751" s="12"/>
      <c r="Y751" s="17"/>
    </row>
    <row r="752" spans="19:25">
      <c r="S752" s="28"/>
      <c r="T752" s="12"/>
      <c r="U752" s="12"/>
      <c r="V752" s="17"/>
      <c r="W752" s="38"/>
      <c r="X752" s="12"/>
      <c r="Y752" s="17"/>
    </row>
    <row r="753" spans="19:25">
      <c r="S753" s="28"/>
      <c r="T753" s="12"/>
      <c r="U753" s="12"/>
      <c r="V753" s="17"/>
      <c r="W753" s="38"/>
      <c r="X753" s="12"/>
      <c r="Y753" s="17"/>
    </row>
    <row r="754" spans="19:25">
      <c r="S754" s="28"/>
      <c r="T754" s="12"/>
      <c r="U754" s="12"/>
      <c r="V754" s="17"/>
      <c r="W754" s="38"/>
      <c r="X754" s="12"/>
      <c r="Y754" s="17"/>
    </row>
    <row r="755" spans="19:25">
      <c r="S755" s="28"/>
      <c r="T755" s="12"/>
      <c r="U755" s="12"/>
      <c r="V755" s="17"/>
      <c r="W755" s="38"/>
      <c r="X755" s="12"/>
      <c r="Y755" s="17"/>
    </row>
    <row r="756" spans="19:25">
      <c r="S756" s="28"/>
      <c r="T756" s="12"/>
      <c r="U756" s="12"/>
      <c r="V756" s="17"/>
      <c r="W756" s="38"/>
      <c r="X756" s="12"/>
      <c r="Y756" s="17"/>
    </row>
    <row r="757" spans="19:25">
      <c r="S757" s="28"/>
      <c r="T757" s="12"/>
      <c r="U757" s="12"/>
      <c r="V757" s="17"/>
      <c r="W757" s="38"/>
      <c r="X757" s="12"/>
      <c r="Y757" s="17"/>
    </row>
    <row r="758" spans="19:25">
      <c r="S758" s="28"/>
      <c r="T758" s="12"/>
      <c r="U758" s="12"/>
      <c r="V758" s="17"/>
      <c r="W758" s="38"/>
      <c r="X758" s="12"/>
      <c r="Y758" s="17"/>
    </row>
    <row r="759" spans="19:25">
      <c r="S759" s="28"/>
      <c r="T759" s="12"/>
      <c r="U759" s="12"/>
      <c r="V759" s="17"/>
      <c r="W759" s="38"/>
      <c r="X759" s="12"/>
      <c r="Y759" s="17"/>
    </row>
    <row r="760" spans="19:25">
      <c r="S760" s="28"/>
      <c r="T760" s="12"/>
      <c r="U760" s="12"/>
      <c r="V760" s="17"/>
      <c r="W760" s="38"/>
      <c r="X760" s="12"/>
      <c r="Y760" s="17"/>
    </row>
    <row r="761" spans="19:25">
      <c r="S761" s="28"/>
      <c r="T761" s="12"/>
      <c r="U761" s="12"/>
      <c r="V761" s="17"/>
      <c r="W761" s="38"/>
      <c r="X761" s="12"/>
      <c r="Y761" s="17"/>
    </row>
    <row r="762" spans="19:25">
      <c r="S762" s="28"/>
      <c r="T762" s="12"/>
      <c r="U762" s="12"/>
      <c r="V762" s="17"/>
      <c r="W762" s="38"/>
      <c r="X762" s="12"/>
      <c r="Y762" s="17"/>
    </row>
    <row r="763" spans="19:25">
      <c r="S763" s="28"/>
      <c r="T763" s="12"/>
      <c r="U763" s="12"/>
      <c r="V763" s="17"/>
      <c r="W763" s="38"/>
      <c r="X763" s="12"/>
      <c r="Y763" s="17"/>
    </row>
    <row r="764" spans="19:25">
      <c r="S764" s="28"/>
      <c r="T764" s="12"/>
      <c r="U764" s="12"/>
      <c r="V764" s="17"/>
      <c r="W764" s="38"/>
      <c r="X764" s="12"/>
      <c r="Y764" s="17"/>
    </row>
    <row r="765" spans="19:25">
      <c r="S765" s="28"/>
      <c r="T765" s="12"/>
      <c r="U765" s="12"/>
      <c r="V765" s="17"/>
      <c r="W765" s="38"/>
      <c r="X765" s="12"/>
      <c r="Y765" s="17"/>
    </row>
    <row r="766" spans="19:25">
      <c r="S766" s="28"/>
      <c r="T766" s="12"/>
      <c r="U766" s="12"/>
      <c r="V766" s="17"/>
      <c r="W766" s="38"/>
      <c r="X766" s="12"/>
      <c r="Y766" s="17"/>
    </row>
    <row r="767" spans="19:25">
      <c r="S767" s="28"/>
      <c r="T767" s="12"/>
      <c r="U767" s="12"/>
      <c r="V767" s="17"/>
      <c r="W767" s="38"/>
      <c r="X767" s="12"/>
      <c r="Y767" s="17"/>
    </row>
    <row r="768" spans="19:25">
      <c r="S768" s="28"/>
      <c r="T768" s="12"/>
      <c r="U768" s="12"/>
      <c r="V768" s="17"/>
      <c r="W768" s="38"/>
      <c r="X768" s="12"/>
      <c r="Y768" s="17"/>
    </row>
    <row r="769" spans="19:25">
      <c r="S769" s="28"/>
      <c r="T769" s="12"/>
      <c r="U769" s="12"/>
      <c r="V769" s="17"/>
      <c r="W769" s="38"/>
      <c r="X769" s="12"/>
      <c r="Y769" s="17"/>
    </row>
    <row r="770" spans="19:25">
      <c r="S770" s="28"/>
      <c r="T770" s="12"/>
      <c r="U770" s="12"/>
      <c r="V770" s="17"/>
      <c r="W770" s="38"/>
      <c r="X770" s="12"/>
      <c r="Y770" s="17"/>
    </row>
    <row r="771" spans="19:25">
      <c r="S771" s="28"/>
      <c r="T771" s="12"/>
      <c r="U771" s="12"/>
      <c r="V771" s="17"/>
      <c r="W771" s="38"/>
      <c r="X771" s="12"/>
      <c r="Y771" s="17"/>
    </row>
    <row r="772" spans="19:25">
      <c r="S772" s="28"/>
      <c r="T772" s="12"/>
      <c r="U772" s="12"/>
      <c r="V772" s="17"/>
      <c r="W772" s="38"/>
      <c r="X772" s="12"/>
      <c r="Y772" s="17"/>
    </row>
    <row r="773" spans="19:25">
      <c r="S773" s="28"/>
      <c r="T773" s="12"/>
      <c r="U773" s="12"/>
      <c r="V773" s="17"/>
      <c r="W773" s="38"/>
      <c r="X773" s="12"/>
      <c r="Y773" s="17"/>
    </row>
    <row r="774" spans="19:25">
      <c r="S774" s="28"/>
      <c r="T774" s="12"/>
      <c r="U774" s="12"/>
      <c r="V774" s="17"/>
      <c r="W774" s="38"/>
      <c r="X774" s="12"/>
      <c r="Y774" s="17"/>
    </row>
    <row r="775" spans="19:25">
      <c r="S775" s="28"/>
      <c r="T775" s="12"/>
      <c r="U775" s="12"/>
      <c r="V775" s="17"/>
      <c r="W775" s="38"/>
      <c r="X775" s="12"/>
      <c r="Y775" s="17"/>
    </row>
    <row r="776" spans="19:25">
      <c r="S776" s="28"/>
      <c r="T776" s="12"/>
      <c r="U776" s="12"/>
      <c r="V776" s="17"/>
      <c r="W776" s="38"/>
      <c r="X776" s="12"/>
      <c r="Y776" s="17"/>
    </row>
    <row r="777" spans="19:25">
      <c r="S777" s="28"/>
      <c r="T777" s="12"/>
      <c r="U777" s="12"/>
      <c r="V777" s="17"/>
      <c r="W777" s="38"/>
      <c r="X777" s="12"/>
      <c r="Y777" s="17"/>
    </row>
    <row r="778" spans="19:25">
      <c r="S778" s="28"/>
      <c r="T778" s="12"/>
      <c r="U778" s="12"/>
      <c r="V778" s="17"/>
      <c r="W778" s="38"/>
      <c r="X778" s="12"/>
      <c r="Y778" s="17"/>
    </row>
    <row r="779" spans="19:25">
      <c r="S779" s="28"/>
      <c r="T779" s="12"/>
      <c r="U779" s="12"/>
      <c r="V779" s="17"/>
      <c r="W779" s="38"/>
      <c r="X779" s="12"/>
      <c r="Y779" s="17"/>
    </row>
    <row r="780" spans="19:25">
      <c r="S780" s="28"/>
      <c r="T780" s="12"/>
      <c r="U780" s="12"/>
      <c r="V780" s="17"/>
      <c r="W780" s="38"/>
      <c r="X780" s="12"/>
      <c r="Y780" s="17"/>
    </row>
    <row r="781" spans="19:25">
      <c r="S781" s="28"/>
      <c r="T781" s="12"/>
      <c r="U781" s="12"/>
      <c r="V781" s="17"/>
      <c r="W781" s="38"/>
      <c r="X781" s="12"/>
      <c r="Y781" s="17"/>
    </row>
    <row r="782" spans="19:25">
      <c r="S782" s="28"/>
      <c r="T782" s="12"/>
      <c r="U782" s="12"/>
      <c r="V782" s="17"/>
      <c r="W782" s="38"/>
      <c r="X782" s="12"/>
      <c r="Y782" s="17"/>
    </row>
    <row r="783" spans="19:25">
      <c r="S783" s="28"/>
      <c r="T783" s="12"/>
      <c r="U783" s="12"/>
      <c r="V783" s="17"/>
      <c r="W783" s="38"/>
      <c r="X783" s="12"/>
      <c r="Y783" s="17"/>
    </row>
    <row r="784" spans="19:25">
      <c r="S784" s="28"/>
      <c r="T784" s="12"/>
      <c r="U784" s="12"/>
      <c r="V784" s="17"/>
      <c r="W784" s="38"/>
      <c r="X784" s="12"/>
      <c r="Y784" s="17"/>
    </row>
    <row r="785" spans="19:25">
      <c r="S785" s="28"/>
      <c r="T785" s="12"/>
      <c r="U785" s="12"/>
      <c r="V785" s="17"/>
      <c r="W785" s="38"/>
      <c r="X785" s="12"/>
      <c r="Y785" s="17"/>
    </row>
    <row r="786" spans="19:25">
      <c r="S786" s="28"/>
      <c r="T786" s="12"/>
      <c r="U786" s="12"/>
      <c r="V786" s="17"/>
      <c r="W786" s="38"/>
      <c r="X786" s="12"/>
      <c r="Y786" s="17"/>
    </row>
    <row r="787" spans="19:25">
      <c r="S787" s="28"/>
      <c r="T787" s="12"/>
      <c r="U787" s="12"/>
      <c r="V787" s="17"/>
      <c r="W787" s="38"/>
      <c r="X787" s="12"/>
      <c r="Y787" s="17"/>
    </row>
    <row r="788" spans="19:25">
      <c r="S788" s="28"/>
      <c r="T788" s="12"/>
      <c r="U788" s="12"/>
      <c r="V788" s="17"/>
      <c r="W788" s="38"/>
      <c r="X788" s="12"/>
      <c r="Y788" s="17"/>
    </row>
    <row r="789" spans="19:25">
      <c r="S789" s="28"/>
      <c r="T789" s="12"/>
      <c r="U789" s="12"/>
      <c r="V789" s="17"/>
      <c r="W789" s="38"/>
      <c r="X789" s="12"/>
      <c r="Y789" s="17"/>
    </row>
    <row r="790" spans="19:25">
      <c r="S790" s="28"/>
      <c r="T790" s="12"/>
      <c r="U790" s="12"/>
      <c r="V790" s="17"/>
      <c r="W790" s="38"/>
      <c r="X790" s="12"/>
      <c r="Y790" s="17"/>
    </row>
    <row r="791" spans="19:25">
      <c r="S791" s="28"/>
      <c r="T791" s="12"/>
      <c r="U791" s="12"/>
      <c r="V791" s="17"/>
      <c r="W791" s="38"/>
      <c r="X791" s="12"/>
      <c r="Y791" s="17"/>
    </row>
    <row r="792" spans="19:25">
      <c r="S792" s="28"/>
      <c r="T792" s="12"/>
      <c r="U792" s="12"/>
      <c r="V792" s="17"/>
      <c r="W792" s="38"/>
      <c r="X792" s="12"/>
      <c r="Y792" s="17"/>
    </row>
    <row r="793" spans="19:25">
      <c r="S793" s="28"/>
      <c r="T793" s="12"/>
      <c r="U793" s="12"/>
      <c r="V793" s="17"/>
      <c r="W793" s="38"/>
      <c r="X793" s="12"/>
      <c r="Y793" s="17"/>
    </row>
    <row r="794" spans="19:25">
      <c r="S794" s="28"/>
      <c r="T794" s="12"/>
      <c r="U794" s="12"/>
      <c r="V794" s="17"/>
      <c r="W794" s="38"/>
      <c r="X794" s="12"/>
      <c r="Y794" s="17"/>
    </row>
    <row r="795" spans="19:25">
      <c r="S795" s="28"/>
      <c r="T795" s="12"/>
      <c r="U795" s="12"/>
      <c r="V795" s="17"/>
      <c r="W795" s="38"/>
      <c r="X795" s="12"/>
      <c r="Y795" s="17"/>
    </row>
    <row r="796" spans="19:25">
      <c r="S796" s="28"/>
      <c r="T796" s="12"/>
      <c r="U796" s="12"/>
      <c r="V796" s="17"/>
      <c r="W796" s="38"/>
      <c r="X796" s="12"/>
      <c r="Y796" s="17"/>
    </row>
    <row r="797" spans="19:25">
      <c r="S797" s="28"/>
      <c r="T797" s="12"/>
      <c r="U797" s="12"/>
      <c r="V797" s="17"/>
      <c r="W797" s="38"/>
      <c r="X797" s="12"/>
      <c r="Y797" s="17"/>
    </row>
    <row r="798" spans="19:25">
      <c r="S798" s="28"/>
      <c r="T798" s="12"/>
      <c r="U798" s="12"/>
      <c r="V798" s="17"/>
      <c r="W798" s="38"/>
      <c r="X798" s="12"/>
      <c r="Y798" s="17"/>
    </row>
    <row r="799" spans="19:25">
      <c r="S799" s="28"/>
      <c r="T799" s="12"/>
      <c r="U799" s="12"/>
      <c r="V799" s="17"/>
      <c r="W799" s="38"/>
      <c r="X799" s="12"/>
      <c r="Y799" s="17"/>
    </row>
    <row r="800" spans="19:25">
      <c r="S800" s="28"/>
      <c r="T800" s="12"/>
      <c r="U800" s="12"/>
      <c r="V800" s="17"/>
      <c r="W800" s="38"/>
      <c r="X800" s="12"/>
      <c r="Y800" s="17"/>
    </row>
    <row r="801" spans="19:25">
      <c r="S801" s="28"/>
      <c r="T801" s="12"/>
      <c r="U801" s="12"/>
      <c r="V801" s="17"/>
      <c r="W801" s="38"/>
      <c r="X801" s="12"/>
      <c r="Y801" s="17"/>
    </row>
    <row r="802" spans="19:25">
      <c r="S802" s="28"/>
      <c r="T802" s="12"/>
      <c r="U802" s="12"/>
      <c r="V802" s="17"/>
      <c r="W802" s="38"/>
      <c r="X802" s="12"/>
      <c r="Y802" s="17"/>
    </row>
    <row r="803" spans="19:25">
      <c r="S803" s="28"/>
      <c r="T803" s="12"/>
      <c r="U803" s="12"/>
      <c r="V803" s="17"/>
      <c r="W803" s="38"/>
      <c r="X803" s="12"/>
      <c r="Y803" s="17"/>
    </row>
    <row r="804" spans="19:25">
      <c r="S804" s="28"/>
      <c r="T804" s="12"/>
      <c r="U804" s="12"/>
      <c r="V804" s="17"/>
      <c r="W804" s="38"/>
      <c r="X804" s="12"/>
      <c r="Y804" s="17"/>
    </row>
    <row r="805" spans="19:25">
      <c r="S805" s="28"/>
      <c r="T805" s="12"/>
      <c r="U805" s="12"/>
      <c r="V805" s="17"/>
      <c r="W805" s="38"/>
      <c r="X805" s="12"/>
      <c r="Y805" s="17"/>
    </row>
    <row r="806" spans="19:25">
      <c r="S806" s="28"/>
      <c r="T806" s="12"/>
      <c r="U806" s="12"/>
      <c r="V806" s="17"/>
      <c r="W806" s="38"/>
      <c r="X806" s="12"/>
      <c r="Y806" s="17"/>
    </row>
    <row r="807" spans="19:25">
      <c r="S807" s="28"/>
      <c r="T807" s="12"/>
      <c r="U807" s="12"/>
      <c r="V807" s="17"/>
      <c r="W807" s="38"/>
      <c r="X807" s="12"/>
      <c r="Y807" s="17"/>
    </row>
    <row r="808" spans="19:25">
      <c r="S808" s="28"/>
      <c r="T808" s="12"/>
      <c r="U808" s="12"/>
      <c r="V808" s="17"/>
      <c r="W808" s="38"/>
      <c r="X808" s="12"/>
      <c r="Y808" s="17"/>
    </row>
    <row r="809" spans="19:25">
      <c r="S809" s="28"/>
      <c r="T809" s="12"/>
      <c r="U809" s="12"/>
      <c r="V809" s="17"/>
      <c r="W809" s="38"/>
      <c r="X809" s="12"/>
      <c r="Y809" s="17"/>
    </row>
    <row r="810" spans="19:25">
      <c r="S810" s="28"/>
      <c r="T810" s="12"/>
      <c r="U810" s="12"/>
      <c r="V810" s="17"/>
      <c r="W810" s="38"/>
      <c r="X810" s="12"/>
      <c r="Y810" s="17"/>
    </row>
    <row r="811" spans="19:25">
      <c r="S811" s="28"/>
      <c r="T811" s="12"/>
      <c r="U811" s="12"/>
      <c r="V811" s="17"/>
      <c r="W811" s="38"/>
      <c r="X811" s="12"/>
      <c r="Y811" s="17"/>
    </row>
    <row r="812" spans="19:25">
      <c r="S812" s="28"/>
      <c r="T812" s="12"/>
      <c r="U812" s="12"/>
      <c r="V812" s="17"/>
      <c r="W812" s="38"/>
      <c r="X812" s="12"/>
      <c r="Y812" s="17"/>
    </row>
    <row r="813" spans="19:25">
      <c r="S813" s="28"/>
      <c r="T813" s="12"/>
      <c r="U813" s="12"/>
      <c r="V813" s="17"/>
      <c r="W813" s="38"/>
      <c r="X813" s="12"/>
      <c r="Y813" s="17"/>
    </row>
    <row r="814" spans="19:25">
      <c r="S814" s="28"/>
      <c r="T814" s="12"/>
      <c r="U814" s="12"/>
      <c r="V814" s="17"/>
      <c r="W814" s="38"/>
      <c r="X814" s="12"/>
      <c r="Y814" s="17"/>
    </row>
    <row r="815" spans="19:25">
      <c r="S815" s="28"/>
      <c r="T815" s="12"/>
      <c r="U815" s="12"/>
      <c r="V815" s="17"/>
      <c r="W815" s="38"/>
      <c r="X815" s="12"/>
      <c r="Y815" s="17"/>
    </row>
    <row r="816" spans="19:25">
      <c r="S816" s="28"/>
      <c r="T816" s="12"/>
      <c r="U816" s="12"/>
      <c r="V816" s="17"/>
      <c r="W816" s="38"/>
      <c r="X816" s="12"/>
      <c r="Y816" s="17"/>
    </row>
    <row r="817" spans="19:25">
      <c r="S817" s="28"/>
      <c r="T817" s="12"/>
      <c r="U817" s="12"/>
      <c r="V817" s="17"/>
      <c r="W817" s="38"/>
      <c r="X817" s="12"/>
      <c r="Y817" s="17"/>
    </row>
    <row r="818" spans="19:25">
      <c r="S818" s="28"/>
      <c r="T818" s="12"/>
      <c r="U818" s="12"/>
      <c r="V818" s="17"/>
      <c r="W818" s="38"/>
      <c r="X818" s="12"/>
      <c r="Y818" s="17"/>
    </row>
    <row r="819" spans="19:25">
      <c r="S819" s="28"/>
      <c r="T819" s="12"/>
      <c r="U819" s="12"/>
      <c r="V819" s="17"/>
      <c r="W819" s="38"/>
      <c r="X819" s="12"/>
      <c r="Y819" s="17"/>
    </row>
    <row r="820" spans="19:25">
      <c r="S820" s="28"/>
      <c r="T820" s="12"/>
      <c r="U820" s="12"/>
      <c r="V820" s="17"/>
      <c r="W820" s="38"/>
      <c r="X820" s="12"/>
      <c r="Y820" s="17"/>
    </row>
    <row r="821" spans="19:25">
      <c r="S821" s="28"/>
      <c r="T821" s="12"/>
      <c r="U821" s="12"/>
      <c r="V821" s="17"/>
      <c r="W821" s="38"/>
      <c r="X821" s="12"/>
      <c r="Y821" s="17"/>
    </row>
    <row r="822" spans="19:25">
      <c r="S822" s="28"/>
      <c r="T822" s="12"/>
      <c r="U822" s="12"/>
      <c r="V822" s="17"/>
      <c r="W822" s="38"/>
      <c r="X822" s="12"/>
      <c r="Y822" s="17"/>
    </row>
    <row r="823" spans="19:25">
      <c r="S823" s="28"/>
      <c r="T823" s="12"/>
      <c r="U823" s="12"/>
      <c r="V823" s="17"/>
      <c r="W823" s="38"/>
      <c r="X823" s="12"/>
      <c r="Y823" s="17"/>
    </row>
    <row r="824" spans="19:25">
      <c r="S824" s="28"/>
      <c r="T824" s="12"/>
      <c r="U824" s="12"/>
      <c r="V824" s="17"/>
      <c r="W824" s="38"/>
      <c r="X824" s="12"/>
      <c r="Y824" s="17"/>
    </row>
    <row r="825" spans="19:25">
      <c r="S825" s="28"/>
      <c r="T825" s="12"/>
      <c r="U825" s="12"/>
      <c r="V825" s="17"/>
      <c r="W825" s="38"/>
      <c r="X825" s="12"/>
      <c r="Y825" s="17"/>
    </row>
    <row r="826" spans="19:25">
      <c r="S826" s="28"/>
      <c r="T826" s="12"/>
      <c r="U826" s="12"/>
      <c r="V826" s="17"/>
      <c r="W826" s="38"/>
      <c r="X826" s="12"/>
      <c r="Y826" s="17"/>
    </row>
    <row r="827" spans="19:25">
      <c r="S827" s="28"/>
      <c r="T827" s="12"/>
      <c r="U827" s="12"/>
      <c r="V827" s="17"/>
      <c r="W827" s="38"/>
      <c r="X827" s="12"/>
      <c r="Y827" s="17"/>
    </row>
    <row r="828" spans="19:25">
      <c r="S828" s="28"/>
      <c r="T828" s="12"/>
      <c r="U828" s="12"/>
      <c r="V828" s="17"/>
      <c r="W828" s="38"/>
      <c r="X828" s="12"/>
      <c r="Y828" s="17"/>
    </row>
    <row r="829" spans="19:25">
      <c r="S829" s="28"/>
      <c r="T829" s="12"/>
      <c r="U829" s="12"/>
      <c r="V829" s="17"/>
      <c r="W829" s="38"/>
      <c r="X829" s="12"/>
      <c r="Y829" s="17"/>
    </row>
    <row r="830" spans="19:25">
      <c r="S830" s="28"/>
      <c r="T830" s="12"/>
      <c r="U830" s="12"/>
      <c r="V830" s="17"/>
      <c r="W830" s="38"/>
      <c r="X830" s="12"/>
      <c r="Y830" s="17"/>
    </row>
    <row r="831" spans="19:25">
      <c r="S831" s="28"/>
      <c r="T831" s="12"/>
      <c r="U831" s="12"/>
      <c r="V831" s="17"/>
      <c r="W831" s="38"/>
      <c r="X831" s="12"/>
      <c r="Y831" s="17"/>
    </row>
    <row r="832" spans="19:25">
      <c r="S832" s="28"/>
      <c r="T832" s="12"/>
      <c r="U832" s="12"/>
      <c r="V832" s="17"/>
      <c r="W832" s="38"/>
      <c r="X832" s="12"/>
      <c r="Y832" s="17"/>
    </row>
    <row r="833" spans="19:25">
      <c r="S833" s="28"/>
      <c r="T833" s="12"/>
      <c r="U833" s="12"/>
      <c r="V833" s="17"/>
      <c r="W833" s="38"/>
      <c r="X833" s="12"/>
      <c r="Y833" s="17"/>
    </row>
    <row r="834" spans="19:25">
      <c r="S834" s="28"/>
      <c r="T834" s="12"/>
      <c r="U834" s="12"/>
      <c r="V834" s="17"/>
      <c r="W834" s="38"/>
      <c r="X834" s="12"/>
      <c r="Y834" s="17"/>
    </row>
    <row r="835" spans="19:25">
      <c r="S835" s="28"/>
      <c r="T835" s="12"/>
      <c r="U835" s="12"/>
      <c r="V835" s="17"/>
      <c r="W835" s="38"/>
      <c r="X835" s="12"/>
      <c r="Y835" s="17"/>
    </row>
    <row r="836" spans="19:25">
      <c r="S836" s="28"/>
      <c r="T836" s="12"/>
      <c r="U836" s="12"/>
      <c r="V836" s="17"/>
      <c r="W836" s="38"/>
      <c r="X836" s="12"/>
      <c r="Y836" s="17"/>
    </row>
    <row r="837" spans="19:25">
      <c r="S837" s="28"/>
      <c r="T837" s="12"/>
      <c r="U837" s="12"/>
      <c r="V837" s="17"/>
      <c r="W837" s="38"/>
      <c r="X837" s="12"/>
      <c r="Y837" s="17"/>
    </row>
    <row r="838" spans="19:25">
      <c r="S838" s="28"/>
      <c r="T838" s="12"/>
      <c r="U838" s="12"/>
      <c r="V838" s="17"/>
      <c r="W838" s="38"/>
      <c r="X838" s="12"/>
      <c r="Y838" s="17"/>
    </row>
    <row r="839" spans="19:25">
      <c r="S839" s="28"/>
      <c r="T839" s="12"/>
      <c r="U839" s="12"/>
      <c r="V839" s="17"/>
      <c r="W839" s="38"/>
      <c r="X839" s="12"/>
      <c r="Y839" s="17"/>
    </row>
    <row r="840" spans="19:25">
      <c r="S840" s="28"/>
      <c r="T840" s="12"/>
      <c r="U840" s="12"/>
      <c r="V840" s="17"/>
      <c r="W840" s="38"/>
      <c r="X840" s="12"/>
      <c r="Y840" s="17"/>
    </row>
    <row r="841" spans="19:25">
      <c r="S841" s="28"/>
      <c r="T841" s="12"/>
      <c r="U841" s="12"/>
      <c r="V841" s="17"/>
      <c r="W841" s="38"/>
      <c r="X841" s="12"/>
      <c r="Y841" s="17"/>
    </row>
    <row r="842" spans="19:25">
      <c r="S842" s="28"/>
      <c r="T842" s="12"/>
      <c r="U842" s="12"/>
      <c r="V842" s="17"/>
      <c r="W842" s="38"/>
      <c r="X842" s="12"/>
      <c r="Y842" s="17"/>
    </row>
    <row r="843" spans="19:25">
      <c r="S843" s="28"/>
      <c r="T843" s="12"/>
      <c r="U843" s="12"/>
      <c r="V843" s="17"/>
      <c r="W843" s="38"/>
      <c r="X843" s="12"/>
      <c r="Y843" s="17"/>
    </row>
    <row r="844" spans="19:25">
      <c r="S844" s="28"/>
      <c r="T844" s="12"/>
      <c r="U844" s="12"/>
      <c r="V844" s="17"/>
      <c r="W844" s="38"/>
      <c r="X844" s="12"/>
      <c r="Y844" s="17"/>
    </row>
    <row r="845" spans="19:25">
      <c r="S845" s="28"/>
      <c r="T845" s="12"/>
      <c r="U845" s="12"/>
      <c r="V845" s="17"/>
      <c r="W845" s="38"/>
      <c r="X845" s="12"/>
      <c r="Y845" s="17"/>
    </row>
    <row r="846" spans="19:25">
      <c r="S846" s="28"/>
      <c r="T846" s="12"/>
      <c r="U846" s="12"/>
      <c r="V846" s="17"/>
      <c r="W846" s="38"/>
      <c r="X846" s="12"/>
      <c r="Y846" s="17"/>
    </row>
    <row r="847" spans="19:25">
      <c r="S847" s="28"/>
      <c r="T847" s="12"/>
      <c r="U847" s="12"/>
      <c r="V847" s="17"/>
      <c r="W847" s="38"/>
      <c r="X847" s="12"/>
      <c r="Y847" s="17"/>
    </row>
    <row r="848" spans="19:25">
      <c r="S848" s="28"/>
      <c r="T848" s="12"/>
      <c r="U848" s="12"/>
      <c r="V848" s="17"/>
      <c r="W848" s="38"/>
      <c r="X848" s="12"/>
      <c r="Y848" s="17"/>
    </row>
    <row r="849" spans="19:25">
      <c r="S849" s="28"/>
      <c r="T849" s="12"/>
      <c r="U849" s="12"/>
      <c r="V849" s="17"/>
      <c r="W849" s="38"/>
      <c r="X849" s="12"/>
      <c r="Y849" s="17"/>
    </row>
    <row r="850" spans="19:25">
      <c r="S850" s="28"/>
      <c r="T850" s="12"/>
      <c r="U850" s="12"/>
      <c r="V850" s="17"/>
      <c r="W850" s="38"/>
      <c r="X850" s="12"/>
      <c r="Y850" s="17"/>
    </row>
    <row r="851" spans="19:25">
      <c r="S851" s="28"/>
      <c r="T851" s="12"/>
      <c r="U851" s="12"/>
      <c r="V851" s="17"/>
      <c r="W851" s="38"/>
      <c r="X851" s="12"/>
      <c r="Y851" s="17"/>
    </row>
    <row r="852" spans="19:25">
      <c r="S852" s="28"/>
      <c r="T852" s="12"/>
      <c r="U852" s="12"/>
      <c r="V852" s="17"/>
      <c r="W852" s="38"/>
      <c r="X852" s="12"/>
      <c r="Y852" s="17"/>
    </row>
    <row r="853" spans="19:25">
      <c r="S853" s="28"/>
      <c r="T853" s="12"/>
      <c r="U853" s="12"/>
      <c r="V853" s="17"/>
      <c r="W853" s="38"/>
      <c r="X853" s="12"/>
      <c r="Y853" s="17"/>
    </row>
    <row r="854" spans="19:25">
      <c r="S854" s="28"/>
      <c r="T854" s="12"/>
      <c r="U854" s="12"/>
      <c r="V854" s="17"/>
      <c r="W854" s="38"/>
      <c r="X854" s="12"/>
      <c r="Y854" s="17"/>
    </row>
    <row r="855" spans="19:25">
      <c r="S855" s="28"/>
      <c r="T855" s="12"/>
      <c r="U855" s="12"/>
      <c r="V855" s="17"/>
      <c r="W855" s="38"/>
      <c r="X855" s="12"/>
      <c r="Y855" s="17"/>
    </row>
    <row r="856" spans="19:25">
      <c r="S856" s="28"/>
      <c r="T856" s="12"/>
      <c r="U856" s="12"/>
      <c r="V856" s="17"/>
      <c r="W856" s="38"/>
      <c r="X856" s="12"/>
      <c r="Y856" s="17"/>
    </row>
    <row r="857" spans="19:25">
      <c r="S857" s="28"/>
      <c r="T857" s="12"/>
      <c r="U857" s="12"/>
      <c r="V857" s="17"/>
      <c r="W857" s="38"/>
      <c r="X857" s="12"/>
      <c r="Y857" s="17"/>
    </row>
    <row r="858" spans="19:25">
      <c r="S858" s="28"/>
      <c r="T858" s="12"/>
      <c r="U858" s="12"/>
      <c r="V858" s="17"/>
      <c r="W858" s="38"/>
      <c r="X858" s="12"/>
      <c r="Y858" s="17"/>
    </row>
    <row r="859" spans="19:25">
      <c r="S859" s="28"/>
      <c r="T859" s="12"/>
      <c r="U859" s="12"/>
      <c r="V859" s="17"/>
      <c r="W859" s="38"/>
      <c r="X859" s="12"/>
      <c r="Y859" s="17"/>
    </row>
    <row r="860" spans="19:25">
      <c r="S860" s="28"/>
      <c r="T860" s="12"/>
      <c r="U860" s="12"/>
      <c r="V860" s="17"/>
      <c r="W860" s="38"/>
      <c r="X860" s="12"/>
      <c r="Y860" s="17"/>
    </row>
    <row r="861" spans="19:25">
      <c r="S861" s="28"/>
      <c r="T861" s="12"/>
      <c r="U861" s="12"/>
      <c r="V861" s="17"/>
      <c r="W861" s="38"/>
      <c r="X861" s="12"/>
      <c r="Y861" s="17"/>
    </row>
    <row r="862" spans="19:25">
      <c r="S862" s="28"/>
      <c r="T862" s="12"/>
      <c r="U862" s="12"/>
      <c r="V862" s="17"/>
      <c r="W862" s="38"/>
      <c r="X862" s="12"/>
      <c r="Y862" s="17"/>
    </row>
    <row r="863" spans="19:25">
      <c r="S863" s="28"/>
      <c r="T863" s="12"/>
      <c r="U863" s="12"/>
      <c r="V863" s="17"/>
      <c r="W863" s="38"/>
      <c r="X863" s="12"/>
      <c r="Y863" s="17"/>
    </row>
    <row r="864" spans="19:25">
      <c r="S864" s="28"/>
      <c r="T864" s="12"/>
      <c r="U864" s="12"/>
      <c r="V864" s="17"/>
      <c r="W864" s="38"/>
      <c r="X864" s="12"/>
      <c r="Y864" s="17"/>
    </row>
    <row r="865" spans="19:25">
      <c r="S865" s="28"/>
      <c r="T865" s="12"/>
      <c r="U865" s="12"/>
      <c r="V865" s="17"/>
      <c r="W865" s="38"/>
      <c r="X865" s="12"/>
      <c r="Y865" s="17"/>
    </row>
    <row r="866" spans="19:25">
      <c r="S866" s="28"/>
      <c r="T866" s="12"/>
      <c r="U866" s="12"/>
      <c r="V866" s="17"/>
      <c r="W866" s="38"/>
      <c r="X866" s="12"/>
      <c r="Y866" s="17"/>
    </row>
    <row r="867" spans="19:25">
      <c r="S867" s="28"/>
      <c r="T867" s="12"/>
      <c r="U867" s="12"/>
      <c r="V867" s="17"/>
      <c r="W867" s="38"/>
      <c r="X867" s="12"/>
      <c r="Y867" s="17"/>
    </row>
    <row r="868" spans="19:25">
      <c r="S868" s="28"/>
      <c r="T868" s="12"/>
      <c r="U868" s="12"/>
      <c r="V868" s="17"/>
      <c r="W868" s="38"/>
      <c r="X868" s="12"/>
      <c r="Y868" s="17"/>
    </row>
    <row r="869" spans="19:25">
      <c r="S869" s="28"/>
      <c r="T869" s="12"/>
      <c r="U869" s="12"/>
      <c r="V869" s="17"/>
      <c r="W869" s="38"/>
      <c r="X869" s="12"/>
      <c r="Y869" s="17"/>
    </row>
    <row r="870" spans="19:25">
      <c r="S870" s="28"/>
      <c r="T870" s="12"/>
      <c r="U870" s="12"/>
      <c r="V870" s="17"/>
      <c r="W870" s="38"/>
      <c r="X870" s="12"/>
      <c r="Y870" s="17"/>
    </row>
    <row r="871" spans="19:25">
      <c r="S871" s="28"/>
      <c r="T871" s="12"/>
      <c r="U871" s="12"/>
      <c r="V871" s="17"/>
      <c r="W871" s="38"/>
      <c r="X871" s="12"/>
      <c r="Y871" s="17"/>
    </row>
    <row r="872" spans="19:25">
      <c r="S872" s="28"/>
      <c r="T872" s="12"/>
      <c r="U872" s="12"/>
      <c r="V872" s="17"/>
      <c r="W872" s="38"/>
      <c r="X872" s="12"/>
      <c r="Y872" s="17"/>
    </row>
    <row r="873" spans="19:25">
      <c r="S873" s="28"/>
      <c r="T873" s="12"/>
      <c r="U873" s="12"/>
      <c r="V873" s="17"/>
      <c r="W873" s="38"/>
      <c r="X873" s="12"/>
      <c r="Y873" s="17"/>
    </row>
    <row r="874" spans="19:25">
      <c r="S874" s="28"/>
      <c r="T874" s="12"/>
      <c r="U874" s="12"/>
      <c r="V874" s="17"/>
      <c r="W874" s="38"/>
      <c r="X874" s="12"/>
      <c r="Y874" s="17"/>
    </row>
    <row r="875" spans="19:25">
      <c r="S875" s="28"/>
      <c r="T875" s="12"/>
      <c r="U875" s="12"/>
      <c r="V875" s="17"/>
      <c r="W875" s="38"/>
      <c r="X875" s="12"/>
      <c r="Y875" s="17"/>
    </row>
    <row r="876" spans="19:25">
      <c r="S876" s="28"/>
      <c r="T876" s="12"/>
      <c r="U876" s="12"/>
      <c r="V876" s="17"/>
      <c r="W876" s="38"/>
      <c r="X876" s="12"/>
      <c r="Y876" s="17"/>
    </row>
    <row r="877" spans="19:25">
      <c r="S877" s="28"/>
      <c r="T877" s="12"/>
      <c r="U877" s="12"/>
      <c r="V877" s="17"/>
      <c r="W877" s="38"/>
      <c r="X877" s="12"/>
      <c r="Y877" s="17"/>
    </row>
    <row r="878" spans="19:25">
      <c r="S878" s="28"/>
      <c r="T878" s="12"/>
      <c r="U878" s="12"/>
      <c r="V878" s="17"/>
      <c r="W878" s="38"/>
      <c r="X878" s="12"/>
      <c r="Y878" s="17"/>
    </row>
    <row r="879" spans="19:25">
      <c r="S879" s="28"/>
      <c r="T879" s="12"/>
      <c r="U879" s="12"/>
      <c r="V879" s="17"/>
      <c r="W879" s="38"/>
      <c r="X879" s="12"/>
      <c r="Y879" s="17"/>
    </row>
    <row r="880" spans="19:25">
      <c r="S880" s="28"/>
      <c r="T880" s="12"/>
      <c r="U880" s="12"/>
      <c r="V880" s="17"/>
      <c r="W880" s="38"/>
      <c r="X880" s="12"/>
      <c r="Y880" s="17"/>
    </row>
    <row r="881" spans="19:25">
      <c r="S881" s="28"/>
      <c r="T881" s="12"/>
      <c r="U881" s="12"/>
      <c r="V881" s="17"/>
      <c r="W881" s="38"/>
      <c r="X881" s="12"/>
      <c r="Y881" s="17"/>
    </row>
    <row r="882" spans="19:25">
      <c r="S882" s="28"/>
      <c r="T882" s="12"/>
      <c r="U882" s="12"/>
      <c r="V882" s="17"/>
      <c r="W882" s="38"/>
      <c r="X882" s="12"/>
      <c r="Y882" s="17"/>
    </row>
    <row r="883" spans="19:25">
      <c r="S883" s="28"/>
      <c r="T883" s="12"/>
      <c r="U883" s="12"/>
      <c r="V883" s="17"/>
      <c r="W883" s="38"/>
      <c r="X883" s="12"/>
      <c r="Y883" s="17"/>
    </row>
    <row r="884" spans="19:25">
      <c r="S884" s="28"/>
      <c r="T884" s="12"/>
      <c r="U884" s="12"/>
      <c r="V884" s="17"/>
      <c r="W884" s="38"/>
      <c r="X884" s="12"/>
      <c r="Y884" s="17"/>
    </row>
    <row r="885" spans="19:25">
      <c r="S885" s="28"/>
      <c r="T885" s="12"/>
      <c r="U885" s="12"/>
      <c r="V885" s="17"/>
      <c r="W885" s="38"/>
      <c r="X885" s="12"/>
      <c r="Y885" s="17"/>
    </row>
    <row r="886" spans="19:25">
      <c r="S886" s="28"/>
      <c r="T886" s="12"/>
      <c r="U886" s="12"/>
      <c r="V886" s="17"/>
      <c r="W886" s="38"/>
      <c r="X886" s="12"/>
      <c r="Y886" s="17"/>
    </row>
    <row r="887" spans="19:25">
      <c r="S887" s="28"/>
      <c r="T887" s="12"/>
      <c r="U887" s="12"/>
      <c r="V887" s="17"/>
      <c r="W887" s="38"/>
      <c r="X887" s="12"/>
      <c r="Y887" s="17"/>
    </row>
    <row r="888" spans="19:25">
      <c r="S888" s="28"/>
      <c r="T888" s="12"/>
      <c r="U888" s="12"/>
      <c r="V888" s="17"/>
      <c r="W888" s="38"/>
      <c r="X888" s="12"/>
      <c r="Y888" s="17"/>
    </row>
    <row r="889" spans="19:25">
      <c r="S889" s="28"/>
      <c r="T889" s="12"/>
      <c r="U889" s="12"/>
      <c r="V889" s="17"/>
      <c r="W889" s="38"/>
      <c r="X889" s="12"/>
      <c r="Y889" s="17"/>
    </row>
    <row r="890" spans="19:25">
      <c r="S890" s="28"/>
      <c r="T890" s="12"/>
      <c r="U890" s="12"/>
      <c r="V890" s="17"/>
      <c r="W890" s="38"/>
      <c r="X890" s="12"/>
      <c r="Y890" s="17"/>
    </row>
    <row r="891" spans="19:25">
      <c r="S891" s="28"/>
      <c r="T891" s="12"/>
      <c r="U891" s="12"/>
      <c r="V891" s="17"/>
      <c r="W891" s="38"/>
      <c r="X891" s="12"/>
      <c r="Y891" s="17"/>
    </row>
    <row r="892" spans="19:25">
      <c r="S892" s="28"/>
      <c r="T892" s="12"/>
      <c r="U892" s="12"/>
      <c r="V892" s="17"/>
      <c r="W892" s="38"/>
      <c r="X892" s="12"/>
      <c r="Y892" s="17"/>
    </row>
    <row r="893" spans="19:25">
      <c r="S893" s="28"/>
      <c r="T893" s="12"/>
      <c r="U893" s="12"/>
      <c r="V893" s="17"/>
      <c r="W893" s="38"/>
      <c r="X893" s="12"/>
      <c r="Y893" s="17"/>
    </row>
    <row r="894" spans="19:25">
      <c r="S894" s="28"/>
      <c r="T894" s="12"/>
      <c r="U894" s="12"/>
      <c r="V894" s="17"/>
      <c r="W894" s="38"/>
      <c r="X894" s="12"/>
      <c r="Y894" s="17"/>
    </row>
    <row r="895" spans="19:25">
      <c r="S895" s="28"/>
      <c r="T895" s="12"/>
      <c r="U895" s="12"/>
      <c r="V895" s="17"/>
      <c r="W895" s="38"/>
      <c r="X895" s="12"/>
      <c r="Y895" s="17"/>
    </row>
    <row r="896" spans="19:25">
      <c r="S896" s="28"/>
      <c r="T896" s="12"/>
      <c r="U896" s="12"/>
      <c r="V896" s="17"/>
      <c r="W896" s="38"/>
      <c r="X896" s="12"/>
      <c r="Y896" s="17"/>
    </row>
    <row r="897" spans="19:25">
      <c r="S897" s="28"/>
      <c r="T897" s="12"/>
      <c r="U897" s="12"/>
      <c r="V897" s="17"/>
      <c r="W897" s="38"/>
      <c r="X897" s="12"/>
      <c r="Y897" s="17"/>
    </row>
    <row r="898" spans="19:25">
      <c r="S898" s="28"/>
      <c r="T898" s="12"/>
      <c r="U898" s="12"/>
      <c r="V898" s="17"/>
      <c r="W898" s="38"/>
      <c r="X898" s="12"/>
      <c r="Y898" s="17"/>
    </row>
    <row r="899" spans="19:25">
      <c r="S899" s="28"/>
      <c r="T899" s="12"/>
      <c r="U899" s="12"/>
      <c r="V899" s="17"/>
      <c r="W899" s="38"/>
      <c r="X899" s="12"/>
      <c r="Y899" s="17"/>
    </row>
    <row r="900" spans="19:25">
      <c r="S900" s="28"/>
      <c r="T900" s="12"/>
      <c r="U900" s="12"/>
      <c r="V900" s="17"/>
      <c r="W900" s="38"/>
      <c r="X900" s="12"/>
      <c r="Y900" s="17"/>
    </row>
    <row r="901" spans="19:25">
      <c r="S901" s="28"/>
      <c r="T901" s="12"/>
      <c r="U901" s="12"/>
      <c r="V901" s="17"/>
      <c r="W901" s="38"/>
      <c r="X901" s="12"/>
      <c r="Y901" s="17"/>
    </row>
    <row r="902" spans="19:25">
      <c r="S902" s="28"/>
      <c r="T902" s="12"/>
      <c r="U902" s="12"/>
      <c r="V902" s="17"/>
      <c r="W902" s="38"/>
      <c r="X902" s="12"/>
      <c r="Y902" s="17"/>
    </row>
    <row r="903" spans="19:25">
      <c r="S903" s="28"/>
      <c r="T903" s="12"/>
      <c r="U903" s="12"/>
      <c r="V903" s="17"/>
      <c r="W903" s="38"/>
      <c r="X903" s="12"/>
      <c r="Y903" s="17"/>
    </row>
    <row r="904" spans="19:25">
      <c r="S904" s="28"/>
      <c r="T904" s="12"/>
      <c r="U904" s="12"/>
      <c r="V904" s="17"/>
      <c r="W904" s="38"/>
      <c r="X904" s="12"/>
      <c r="Y904" s="17"/>
    </row>
    <row r="905" spans="19:25">
      <c r="S905" s="28"/>
      <c r="T905" s="12"/>
      <c r="U905" s="12"/>
      <c r="V905" s="17"/>
      <c r="W905" s="38"/>
      <c r="X905" s="12"/>
      <c r="Y905" s="17"/>
    </row>
    <row r="906" spans="19:25">
      <c r="S906" s="28"/>
      <c r="T906" s="12"/>
      <c r="U906" s="12"/>
      <c r="V906" s="17"/>
      <c r="W906" s="38"/>
      <c r="X906" s="12"/>
      <c r="Y906" s="17"/>
    </row>
    <row r="907" spans="19:25">
      <c r="S907" s="28"/>
      <c r="T907" s="12"/>
      <c r="U907" s="12"/>
      <c r="V907" s="17"/>
      <c r="W907" s="38"/>
      <c r="X907" s="12"/>
      <c r="Y907" s="17"/>
    </row>
    <row r="908" spans="19:25">
      <c r="S908" s="28"/>
      <c r="T908" s="12"/>
      <c r="U908" s="12"/>
      <c r="V908" s="17"/>
      <c r="W908" s="38"/>
      <c r="X908" s="12"/>
      <c r="Y908" s="17"/>
    </row>
    <row r="909" spans="19:25">
      <c r="S909" s="28"/>
      <c r="T909" s="12"/>
      <c r="U909" s="12"/>
      <c r="V909" s="17"/>
      <c r="W909" s="38"/>
      <c r="X909" s="12"/>
      <c r="Y909" s="17"/>
    </row>
    <row r="910" spans="19:25">
      <c r="S910" s="28"/>
      <c r="T910" s="12"/>
      <c r="U910" s="12"/>
      <c r="V910" s="17"/>
      <c r="W910" s="38"/>
      <c r="X910" s="12"/>
      <c r="Y910" s="17"/>
    </row>
    <row r="911" spans="19:25">
      <c r="S911" s="28"/>
      <c r="T911" s="12"/>
      <c r="U911" s="12"/>
      <c r="V911" s="17"/>
      <c r="W911" s="38"/>
      <c r="X911" s="12"/>
      <c r="Y911" s="17"/>
    </row>
    <row r="912" spans="19:25">
      <c r="S912" s="28"/>
      <c r="T912" s="12"/>
      <c r="U912" s="12"/>
      <c r="V912" s="17"/>
      <c r="W912" s="38"/>
      <c r="X912" s="12"/>
      <c r="Y912" s="17"/>
    </row>
    <row r="913" spans="19:25">
      <c r="S913" s="28"/>
      <c r="T913" s="12"/>
      <c r="U913" s="12"/>
      <c r="V913" s="17"/>
      <c r="W913" s="38"/>
      <c r="X913" s="12"/>
      <c r="Y913" s="17"/>
    </row>
    <row r="914" spans="19:25">
      <c r="S914" s="28"/>
      <c r="T914" s="12"/>
      <c r="U914" s="12"/>
      <c r="V914" s="17"/>
      <c r="W914" s="38"/>
      <c r="X914" s="12"/>
      <c r="Y914" s="17"/>
    </row>
    <row r="915" spans="19:25">
      <c r="S915" s="28"/>
      <c r="T915" s="12"/>
      <c r="U915" s="12"/>
      <c r="V915" s="17"/>
      <c r="W915" s="38"/>
      <c r="X915" s="12"/>
      <c r="Y915" s="17"/>
    </row>
    <row r="916" spans="19:25">
      <c r="S916" s="28"/>
      <c r="T916" s="12"/>
      <c r="U916" s="12"/>
      <c r="V916" s="17"/>
      <c r="W916" s="38"/>
      <c r="X916" s="12"/>
      <c r="Y916" s="17"/>
    </row>
    <row r="917" spans="19:25">
      <c r="S917" s="28"/>
      <c r="T917" s="12"/>
      <c r="U917" s="12"/>
      <c r="V917" s="17"/>
      <c r="W917" s="38"/>
      <c r="X917" s="12"/>
      <c r="Y917" s="17"/>
    </row>
    <row r="918" spans="19:25">
      <c r="S918" s="28"/>
      <c r="T918" s="12"/>
      <c r="U918" s="12"/>
      <c r="V918" s="17"/>
      <c r="W918" s="38"/>
      <c r="X918" s="12"/>
      <c r="Y918" s="17"/>
    </row>
    <row r="919" spans="19:25">
      <c r="S919" s="28"/>
      <c r="T919" s="12"/>
      <c r="U919" s="12"/>
      <c r="V919" s="17"/>
      <c r="W919" s="38"/>
      <c r="X919" s="12"/>
      <c r="Y919" s="17"/>
    </row>
    <row r="920" spans="19:25">
      <c r="S920" s="28"/>
      <c r="T920" s="12"/>
      <c r="U920" s="12"/>
      <c r="V920" s="17"/>
      <c r="W920" s="38"/>
      <c r="X920" s="12"/>
      <c r="Y920" s="17"/>
    </row>
    <row r="921" spans="19:25">
      <c r="S921" s="28"/>
      <c r="T921" s="12"/>
      <c r="U921" s="12"/>
      <c r="V921" s="17"/>
      <c r="W921" s="38"/>
      <c r="X921" s="12"/>
      <c r="Y921" s="17"/>
    </row>
    <row r="922" spans="19:25">
      <c r="S922" s="28"/>
      <c r="T922" s="12"/>
      <c r="U922" s="12"/>
      <c r="V922" s="17"/>
      <c r="W922" s="38"/>
      <c r="X922" s="12"/>
      <c r="Y922" s="17"/>
    </row>
    <row r="923" spans="19:25">
      <c r="S923" s="28"/>
      <c r="T923" s="12"/>
      <c r="U923" s="12"/>
      <c r="V923" s="17"/>
      <c r="W923" s="38"/>
      <c r="X923" s="12"/>
      <c r="Y923" s="17"/>
    </row>
    <row r="924" spans="19:25">
      <c r="S924" s="28"/>
      <c r="T924" s="12"/>
      <c r="U924" s="12"/>
      <c r="V924" s="17"/>
      <c r="W924" s="38"/>
      <c r="X924" s="12"/>
      <c r="Y924" s="17"/>
    </row>
    <row r="925" spans="19:25">
      <c r="S925" s="28"/>
      <c r="T925" s="12"/>
      <c r="U925" s="12"/>
      <c r="V925" s="17"/>
      <c r="W925" s="38"/>
      <c r="X925" s="12"/>
      <c r="Y925" s="17"/>
    </row>
    <row r="926" spans="19:25">
      <c r="S926" s="28"/>
      <c r="T926" s="12"/>
      <c r="U926" s="12"/>
      <c r="V926" s="17"/>
      <c r="W926" s="38"/>
      <c r="X926" s="12"/>
      <c r="Y926" s="17"/>
    </row>
    <row r="927" spans="19:25">
      <c r="S927" s="28"/>
      <c r="T927" s="12"/>
      <c r="U927" s="12"/>
      <c r="V927" s="17"/>
      <c r="W927" s="38"/>
      <c r="X927" s="12"/>
      <c r="Y927" s="17"/>
    </row>
    <row r="928" spans="19:25">
      <c r="S928" s="28"/>
      <c r="T928" s="12"/>
      <c r="U928" s="12"/>
      <c r="V928" s="17"/>
      <c r="W928" s="38"/>
      <c r="X928" s="12"/>
      <c r="Y928" s="17"/>
    </row>
    <row r="929" spans="19:25">
      <c r="S929" s="28"/>
      <c r="T929" s="12"/>
      <c r="U929" s="12"/>
      <c r="V929" s="17"/>
      <c r="W929" s="38"/>
      <c r="X929" s="12"/>
      <c r="Y929" s="17"/>
    </row>
    <row r="930" spans="19:25">
      <c r="S930" s="28"/>
      <c r="T930" s="12"/>
      <c r="U930" s="12"/>
      <c r="V930" s="17"/>
      <c r="W930" s="38"/>
      <c r="X930" s="12"/>
      <c r="Y930" s="17"/>
    </row>
    <row r="931" spans="19:25">
      <c r="S931" s="28"/>
      <c r="T931" s="12"/>
      <c r="U931" s="12"/>
      <c r="V931" s="17"/>
      <c r="W931" s="38"/>
      <c r="X931" s="12"/>
      <c r="Y931" s="17"/>
    </row>
    <row r="932" spans="19:25">
      <c r="S932" s="28"/>
      <c r="T932" s="12"/>
      <c r="U932" s="12"/>
      <c r="V932" s="17"/>
      <c r="W932" s="38"/>
      <c r="X932" s="12"/>
      <c r="Y932" s="17"/>
    </row>
    <row r="933" spans="19:25">
      <c r="S933" s="28"/>
      <c r="T933" s="12"/>
      <c r="U933" s="12"/>
      <c r="V933" s="17"/>
      <c r="W933" s="38"/>
      <c r="X933" s="12"/>
      <c r="Y933" s="17"/>
    </row>
    <row r="934" spans="19:25">
      <c r="S934" s="28"/>
      <c r="T934" s="12"/>
      <c r="U934" s="12"/>
      <c r="V934" s="17"/>
      <c r="W934" s="38"/>
      <c r="X934" s="12"/>
      <c r="Y934" s="17"/>
    </row>
    <row r="935" spans="19:25">
      <c r="S935" s="28"/>
      <c r="T935" s="12"/>
      <c r="U935" s="12"/>
      <c r="V935" s="17"/>
      <c r="W935" s="38"/>
      <c r="X935" s="12"/>
      <c r="Y935" s="17"/>
    </row>
    <row r="936" spans="19:25">
      <c r="S936" s="28"/>
      <c r="T936" s="12"/>
      <c r="U936" s="12"/>
      <c r="V936" s="17"/>
      <c r="W936" s="38"/>
      <c r="X936" s="12"/>
      <c r="Y936" s="17"/>
    </row>
    <row r="937" spans="19:25">
      <c r="S937" s="28"/>
      <c r="T937" s="12"/>
      <c r="U937" s="12"/>
      <c r="V937" s="17"/>
      <c r="W937" s="38"/>
      <c r="X937" s="12"/>
      <c r="Y937" s="17"/>
    </row>
    <row r="938" spans="19:25">
      <c r="S938" s="28"/>
      <c r="T938" s="12"/>
      <c r="U938" s="12"/>
      <c r="V938" s="17"/>
      <c r="W938" s="38"/>
      <c r="X938" s="12"/>
      <c r="Y938" s="17"/>
    </row>
    <row r="939" spans="19:25">
      <c r="S939" s="28"/>
      <c r="T939" s="12"/>
      <c r="U939" s="12"/>
      <c r="V939" s="17"/>
      <c r="W939" s="38"/>
      <c r="X939" s="12"/>
      <c r="Y939" s="17"/>
    </row>
    <row r="940" spans="19:25">
      <c r="S940" s="28"/>
      <c r="T940" s="12"/>
      <c r="U940" s="12"/>
      <c r="V940" s="17"/>
      <c r="W940" s="38"/>
      <c r="X940" s="12"/>
      <c r="Y940" s="17"/>
    </row>
    <row r="941" spans="19:25">
      <c r="S941" s="28"/>
      <c r="T941" s="12"/>
      <c r="U941" s="12"/>
      <c r="V941" s="17"/>
      <c r="W941" s="38"/>
      <c r="X941" s="12"/>
      <c r="Y941" s="17"/>
    </row>
    <row r="942" spans="19:25">
      <c r="S942" s="28"/>
      <c r="T942" s="12"/>
      <c r="U942" s="12"/>
      <c r="V942" s="17"/>
      <c r="W942" s="38"/>
      <c r="X942" s="12"/>
      <c r="Y942" s="17"/>
    </row>
    <row r="943" spans="19:25">
      <c r="S943" s="28"/>
      <c r="T943" s="12"/>
      <c r="U943" s="12"/>
      <c r="V943" s="17"/>
      <c r="W943" s="38"/>
      <c r="X943" s="12"/>
      <c r="Y943" s="17"/>
    </row>
    <row r="944" spans="19:25">
      <c r="S944" s="28"/>
      <c r="T944" s="12"/>
      <c r="U944" s="12"/>
      <c r="V944" s="17"/>
      <c r="W944" s="38"/>
      <c r="X944" s="12"/>
      <c r="Y944" s="17"/>
    </row>
    <row r="945" spans="19:25">
      <c r="S945" s="28"/>
      <c r="T945" s="12"/>
      <c r="U945" s="12"/>
      <c r="V945" s="17"/>
      <c r="W945" s="38"/>
      <c r="X945" s="12"/>
      <c r="Y945" s="17"/>
    </row>
    <row r="946" spans="19:25">
      <c r="S946" s="28"/>
      <c r="T946" s="12"/>
      <c r="U946" s="12"/>
      <c r="V946" s="17"/>
      <c r="W946" s="38"/>
      <c r="X946" s="12"/>
      <c r="Y946" s="17"/>
    </row>
    <row r="947" spans="19:25">
      <c r="S947" s="28"/>
      <c r="T947" s="12"/>
      <c r="U947" s="12"/>
      <c r="V947" s="17"/>
      <c r="W947" s="38"/>
      <c r="X947" s="12"/>
      <c r="Y947" s="17"/>
    </row>
    <row r="948" spans="19:25">
      <c r="S948" s="28"/>
      <c r="T948" s="12"/>
      <c r="U948" s="12"/>
      <c r="V948" s="17"/>
      <c r="W948" s="38"/>
      <c r="X948" s="12"/>
      <c r="Y948" s="17"/>
    </row>
    <row r="949" spans="19:25">
      <c r="S949" s="28"/>
      <c r="T949" s="12"/>
      <c r="U949" s="12"/>
      <c r="V949" s="17"/>
      <c r="W949" s="38"/>
      <c r="X949" s="12"/>
      <c r="Y949" s="17"/>
    </row>
    <row r="950" spans="19:25">
      <c r="S950" s="28"/>
      <c r="T950" s="12"/>
      <c r="U950" s="12"/>
      <c r="V950" s="17"/>
      <c r="W950" s="38"/>
      <c r="X950" s="12"/>
      <c r="Y950" s="17"/>
    </row>
    <row r="951" spans="19:25">
      <c r="S951" s="28"/>
      <c r="T951" s="12"/>
      <c r="U951" s="12"/>
      <c r="V951" s="17"/>
      <c r="W951" s="38"/>
      <c r="X951" s="12"/>
      <c r="Y951" s="17"/>
    </row>
    <row r="952" spans="19:25">
      <c r="S952" s="28"/>
      <c r="T952" s="12"/>
      <c r="U952" s="12"/>
      <c r="V952" s="17"/>
      <c r="W952" s="38"/>
      <c r="X952" s="12"/>
      <c r="Y952" s="17"/>
    </row>
    <row r="953" spans="19:25">
      <c r="S953" s="28"/>
      <c r="T953" s="12"/>
      <c r="U953" s="12"/>
      <c r="V953" s="17"/>
      <c r="W953" s="38"/>
      <c r="X953" s="12"/>
      <c r="Y953" s="17"/>
    </row>
    <row r="954" spans="19:25">
      <c r="S954" s="28"/>
      <c r="T954" s="12"/>
      <c r="U954" s="12"/>
      <c r="V954" s="17"/>
      <c r="W954" s="38"/>
      <c r="X954" s="12"/>
      <c r="Y954" s="17"/>
    </row>
    <row r="955" spans="19:25">
      <c r="S955" s="28"/>
      <c r="T955" s="12"/>
      <c r="U955" s="12"/>
      <c r="V955" s="17"/>
      <c r="W955" s="38"/>
      <c r="X955" s="12"/>
      <c r="Y955" s="17"/>
    </row>
    <row r="956" spans="19:25">
      <c r="S956" s="28"/>
      <c r="T956" s="12"/>
      <c r="U956" s="12"/>
      <c r="V956" s="17"/>
      <c r="W956" s="38"/>
      <c r="X956" s="12"/>
      <c r="Y956" s="17"/>
    </row>
    <row r="957" spans="19:25">
      <c r="S957" s="28"/>
      <c r="T957" s="12"/>
      <c r="U957" s="12"/>
      <c r="V957" s="17"/>
      <c r="W957" s="38"/>
      <c r="X957" s="12"/>
      <c r="Y957" s="17"/>
    </row>
    <row r="958" spans="19:25">
      <c r="S958" s="28"/>
      <c r="T958" s="12"/>
      <c r="U958" s="12"/>
      <c r="V958" s="17"/>
      <c r="W958" s="38"/>
      <c r="X958" s="12"/>
      <c r="Y958" s="17"/>
    </row>
    <row r="959" spans="19:25">
      <c r="S959" s="28"/>
      <c r="T959" s="12"/>
      <c r="U959" s="12"/>
      <c r="V959" s="17"/>
      <c r="W959" s="38"/>
      <c r="X959" s="12"/>
      <c r="Y959" s="17"/>
    </row>
    <row r="960" spans="19:25">
      <c r="S960" s="28"/>
      <c r="T960" s="12"/>
      <c r="U960" s="12"/>
      <c r="V960" s="17"/>
      <c r="W960" s="38"/>
      <c r="X960" s="12"/>
      <c r="Y960" s="17"/>
    </row>
    <row r="961" spans="19:25">
      <c r="S961" s="28"/>
      <c r="T961" s="12"/>
      <c r="U961" s="12"/>
      <c r="V961" s="17"/>
      <c r="W961" s="38"/>
      <c r="X961" s="12"/>
      <c r="Y961" s="17"/>
    </row>
    <row r="962" spans="19:25">
      <c r="S962" s="28"/>
      <c r="T962" s="12"/>
      <c r="U962" s="12"/>
      <c r="V962" s="17"/>
      <c r="W962" s="38"/>
      <c r="X962" s="12"/>
      <c r="Y962" s="17"/>
    </row>
    <row r="963" spans="19:25">
      <c r="S963" s="28"/>
      <c r="T963" s="12"/>
      <c r="U963" s="12"/>
      <c r="V963" s="17"/>
      <c r="W963" s="38"/>
      <c r="X963" s="12"/>
      <c r="Y963" s="17"/>
    </row>
    <row r="964" spans="19:25">
      <c r="S964" s="28"/>
      <c r="T964" s="12"/>
      <c r="U964" s="12"/>
      <c r="V964" s="17"/>
      <c r="W964" s="38"/>
      <c r="X964" s="12"/>
      <c r="Y964" s="17"/>
    </row>
    <row r="965" spans="19:25">
      <c r="S965" s="28"/>
      <c r="T965" s="12"/>
      <c r="U965" s="12"/>
      <c r="V965" s="17"/>
      <c r="W965" s="38"/>
      <c r="X965" s="12"/>
      <c r="Y965" s="17"/>
    </row>
    <row r="966" spans="19:25">
      <c r="S966" s="28"/>
      <c r="T966" s="12"/>
      <c r="U966" s="12"/>
      <c r="V966" s="17"/>
      <c r="W966" s="38"/>
      <c r="X966" s="12"/>
      <c r="Y966" s="17"/>
    </row>
    <row r="967" spans="19:25">
      <c r="S967" s="28"/>
      <c r="T967" s="12"/>
      <c r="U967" s="12"/>
      <c r="V967" s="17"/>
      <c r="W967" s="38"/>
      <c r="X967" s="12"/>
      <c r="Y967" s="17"/>
    </row>
    <row r="968" spans="19:25">
      <c r="S968" s="28"/>
      <c r="T968" s="12"/>
      <c r="U968" s="12"/>
      <c r="V968" s="17"/>
      <c r="W968" s="38"/>
      <c r="X968" s="12"/>
      <c r="Y968" s="17"/>
    </row>
    <row r="969" spans="19:25">
      <c r="S969" s="28"/>
      <c r="T969" s="12"/>
      <c r="U969" s="12"/>
      <c r="V969" s="17"/>
      <c r="W969" s="38"/>
      <c r="X969" s="12"/>
      <c r="Y969" s="17"/>
    </row>
    <row r="970" spans="19:25">
      <c r="S970" s="28"/>
      <c r="T970" s="12"/>
      <c r="U970" s="12"/>
      <c r="V970" s="17"/>
      <c r="W970" s="38"/>
      <c r="X970" s="12"/>
      <c r="Y970" s="17"/>
    </row>
    <row r="971" spans="19:25">
      <c r="S971" s="28"/>
      <c r="T971" s="12"/>
      <c r="U971" s="12"/>
      <c r="V971" s="17"/>
      <c r="W971" s="38"/>
      <c r="X971" s="12"/>
      <c r="Y971" s="17"/>
    </row>
    <row r="972" spans="19:25">
      <c r="S972" s="28"/>
      <c r="T972" s="12"/>
      <c r="U972" s="12"/>
      <c r="V972" s="17"/>
      <c r="W972" s="38"/>
      <c r="X972" s="12"/>
      <c r="Y972" s="17"/>
    </row>
    <row r="973" spans="19:25">
      <c r="S973" s="28"/>
      <c r="T973" s="12"/>
      <c r="U973" s="12"/>
      <c r="V973" s="17"/>
      <c r="W973" s="38"/>
      <c r="X973" s="12"/>
      <c r="Y973" s="17"/>
    </row>
    <row r="974" spans="19:25">
      <c r="S974" s="28"/>
      <c r="T974" s="12"/>
      <c r="U974" s="12"/>
      <c r="V974" s="17"/>
      <c r="W974" s="38"/>
      <c r="X974" s="12"/>
      <c r="Y974" s="17"/>
    </row>
    <row r="975" spans="19:25">
      <c r="S975" s="28"/>
      <c r="T975" s="12"/>
      <c r="U975" s="12"/>
      <c r="V975" s="17"/>
      <c r="W975" s="38"/>
      <c r="X975" s="12"/>
      <c r="Y975" s="17"/>
    </row>
    <row r="976" spans="19:25">
      <c r="S976" s="28"/>
      <c r="T976" s="12"/>
      <c r="U976" s="12"/>
      <c r="V976" s="17"/>
      <c r="W976" s="38"/>
      <c r="X976" s="12"/>
      <c r="Y976" s="17"/>
    </row>
    <row r="977" spans="19:25">
      <c r="S977" s="28"/>
      <c r="T977" s="12"/>
      <c r="U977" s="12"/>
      <c r="V977" s="17"/>
      <c r="W977" s="38"/>
      <c r="X977" s="12"/>
      <c r="Y977" s="17"/>
    </row>
    <row r="978" spans="19:25">
      <c r="S978" s="28"/>
      <c r="T978" s="12"/>
      <c r="U978" s="12"/>
      <c r="V978" s="17"/>
      <c r="W978" s="38"/>
      <c r="X978" s="12"/>
      <c r="Y978" s="17"/>
    </row>
    <row r="979" spans="19:25">
      <c r="S979" s="28"/>
      <c r="T979" s="12"/>
      <c r="U979" s="12"/>
      <c r="V979" s="17"/>
      <c r="W979" s="38"/>
      <c r="X979" s="12"/>
      <c r="Y979" s="17"/>
    </row>
    <row r="980" spans="19:25">
      <c r="S980" s="28"/>
      <c r="T980" s="12"/>
      <c r="U980" s="12"/>
      <c r="V980" s="17"/>
      <c r="W980" s="38"/>
      <c r="X980" s="12"/>
      <c r="Y980" s="17"/>
    </row>
    <row r="981" spans="19:25">
      <c r="S981" s="28"/>
      <c r="T981" s="12"/>
      <c r="U981" s="12"/>
      <c r="V981" s="17"/>
      <c r="W981" s="38"/>
      <c r="X981" s="12"/>
      <c r="Y981" s="17"/>
    </row>
    <row r="982" spans="19:25">
      <c r="S982" s="28"/>
      <c r="T982" s="12"/>
      <c r="U982" s="12"/>
      <c r="V982" s="17"/>
      <c r="W982" s="38"/>
      <c r="X982" s="12"/>
      <c r="Y982" s="17"/>
    </row>
    <row r="983" spans="19:25">
      <c r="S983" s="28"/>
      <c r="T983" s="12"/>
      <c r="U983" s="12"/>
      <c r="V983" s="17"/>
      <c r="W983" s="38"/>
      <c r="X983" s="12"/>
      <c r="Y983" s="17"/>
    </row>
    <row r="984" spans="19:25">
      <c r="S984" s="28"/>
      <c r="T984" s="12"/>
      <c r="U984" s="12"/>
      <c r="V984" s="17"/>
      <c r="W984" s="38"/>
      <c r="X984" s="12"/>
      <c r="Y984" s="17"/>
    </row>
    <row r="985" spans="19:25">
      <c r="S985" s="28"/>
      <c r="T985" s="12"/>
      <c r="U985" s="12"/>
      <c r="V985" s="17"/>
      <c r="W985" s="38"/>
      <c r="X985" s="12"/>
      <c r="Y985" s="17"/>
    </row>
    <row r="986" spans="19:25">
      <c r="S986" s="28"/>
      <c r="T986" s="12"/>
      <c r="U986" s="12"/>
      <c r="V986" s="17"/>
      <c r="W986" s="38"/>
      <c r="X986" s="12"/>
      <c r="Y986" s="17"/>
    </row>
    <row r="987" spans="19:25">
      <c r="S987" s="28"/>
      <c r="T987" s="12"/>
      <c r="U987" s="12"/>
      <c r="V987" s="17"/>
      <c r="W987" s="38"/>
      <c r="X987" s="12"/>
      <c r="Y987" s="17"/>
    </row>
    <row r="988" spans="19:25">
      <c r="S988" s="28"/>
      <c r="T988" s="12"/>
      <c r="U988" s="12"/>
      <c r="V988" s="17"/>
      <c r="W988" s="38"/>
      <c r="X988" s="12"/>
      <c r="Y988" s="17"/>
    </row>
    <row r="989" spans="19:25">
      <c r="S989" s="28"/>
      <c r="T989" s="12"/>
      <c r="U989" s="12"/>
      <c r="V989" s="17"/>
      <c r="W989" s="38"/>
      <c r="X989" s="12"/>
      <c r="Y989" s="17"/>
    </row>
    <row r="990" spans="19:25">
      <c r="S990" s="28"/>
      <c r="T990" s="12"/>
      <c r="U990" s="12"/>
      <c r="V990" s="17"/>
      <c r="W990" s="38"/>
      <c r="X990" s="12"/>
      <c r="Y990" s="17"/>
    </row>
    <row r="991" spans="19:25">
      <c r="S991" s="28"/>
      <c r="T991" s="12"/>
      <c r="U991" s="12"/>
      <c r="V991" s="17"/>
      <c r="W991" s="38"/>
      <c r="X991" s="12"/>
      <c r="Y991" s="17"/>
    </row>
    <row r="992" spans="19:25">
      <c r="S992" s="28"/>
      <c r="T992" s="12"/>
      <c r="U992" s="12"/>
      <c r="V992" s="17"/>
      <c r="W992" s="38"/>
      <c r="X992" s="12"/>
      <c r="Y992" s="17"/>
    </row>
    <row r="993" spans="19:25">
      <c r="S993" s="28"/>
      <c r="T993" s="12"/>
      <c r="U993" s="12"/>
      <c r="V993" s="17"/>
      <c r="W993" s="38"/>
      <c r="X993" s="12"/>
      <c r="Y993" s="17"/>
    </row>
    <row r="994" spans="19:25">
      <c r="S994" s="28"/>
      <c r="T994" s="12"/>
      <c r="U994" s="12"/>
      <c r="V994" s="17"/>
      <c r="W994" s="38"/>
      <c r="X994" s="12"/>
      <c r="Y994" s="17"/>
    </row>
    <row r="995" spans="19:25">
      <c r="S995" s="28"/>
      <c r="T995" s="12"/>
      <c r="U995" s="12"/>
      <c r="V995" s="17"/>
      <c r="W995" s="38"/>
      <c r="X995" s="12"/>
      <c r="Y995" s="17"/>
    </row>
    <row r="996" spans="19:25">
      <c r="S996" s="28"/>
      <c r="T996" s="12"/>
      <c r="U996" s="12"/>
      <c r="V996" s="17"/>
      <c r="W996" s="38"/>
      <c r="X996" s="12"/>
      <c r="Y996" s="17"/>
    </row>
    <row r="997" spans="19:25">
      <c r="S997" s="28"/>
      <c r="T997" s="12"/>
      <c r="U997" s="12"/>
      <c r="V997" s="17"/>
      <c r="W997" s="38"/>
      <c r="X997" s="12"/>
      <c r="Y997" s="17"/>
    </row>
    <row r="998" spans="19:25">
      <c r="S998" s="28"/>
      <c r="T998" s="12"/>
      <c r="U998" s="12"/>
      <c r="V998" s="17"/>
      <c r="W998" s="38"/>
      <c r="X998" s="12"/>
      <c r="Y998" s="17"/>
    </row>
    <row r="999" spans="19:25">
      <c r="S999" s="28"/>
      <c r="T999" s="12"/>
      <c r="U999" s="12"/>
      <c r="V999" s="17"/>
      <c r="W999" s="38"/>
      <c r="X999" s="12"/>
      <c r="Y999" s="17"/>
    </row>
    <row r="1000" spans="19:25">
      <c r="S1000" s="28"/>
      <c r="T1000" s="12"/>
      <c r="U1000" s="12"/>
      <c r="V1000" s="17"/>
      <c r="W1000" s="38"/>
      <c r="X1000" s="12"/>
      <c r="Y1000" s="17"/>
    </row>
    <row r="1001" spans="19:25">
      <c r="S1001" s="28"/>
      <c r="T1001" s="12"/>
      <c r="U1001" s="12"/>
      <c r="V1001" s="17"/>
      <c r="W1001" s="38"/>
      <c r="X1001" s="12"/>
      <c r="Y1001" s="17"/>
    </row>
    <row r="1002" spans="19:25">
      <c r="S1002" s="28"/>
      <c r="T1002" s="12"/>
      <c r="U1002" s="12"/>
      <c r="V1002" s="17"/>
      <c r="W1002" s="38"/>
      <c r="X1002" s="12"/>
      <c r="Y1002" s="17"/>
    </row>
    <row r="1003" spans="19:25">
      <c r="S1003" s="28"/>
      <c r="T1003" s="12"/>
      <c r="U1003" s="12"/>
      <c r="V1003" s="17"/>
      <c r="W1003" s="38"/>
      <c r="X1003" s="12"/>
      <c r="Y1003" s="17"/>
    </row>
    <row r="1004" spans="19:25">
      <c r="S1004" s="28"/>
      <c r="T1004" s="12"/>
      <c r="U1004" s="12"/>
      <c r="V1004" s="17"/>
      <c r="W1004" s="38"/>
      <c r="X1004" s="12"/>
      <c r="Y1004" s="17"/>
    </row>
    <row r="1005" spans="19:25">
      <c r="S1005" s="28"/>
      <c r="T1005" s="12"/>
      <c r="U1005" s="12"/>
      <c r="V1005" s="17"/>
      <c r="W1005" s="38"/>
      <c r="X1005" s="12"/>
      <c r="Y1005" s="17"/>
    </row>
    <row r="1006" spans="19:25">
      <c r="S1006" s="28"/>
      <c r="T1006" s="12"/>
      <c r="U1006" s="12"/>
      <c r="V1006" s="17"/>
      <c r="W1006" s="38"/>
      <c r="X1006" s="12"/>
      <c r="Y1006" s="17"/>
    </row>
    <row r="1007" spans="19:25">
      <c r="S1007" s="28"/>
      <c r="T1007" s="12"/>
      <c r="U1007" s="12"/>
      <c r="V1007" s="17"/>
      <c r="W1007" s="38"/>
      <c r="X1007" s="12"/>
      <c r="Y1007" s="17"/>
    </row>
    <row r="1008" spans="19:25">
      <c r="S1008" s="28"/>
      <c r="T1008" s="12"/>
      <c r="U1008" s="12"/>
      <c r="V1008" s="17"/>
      <c r="W1008" s="38"/>
      <c r="X1008" s="12"/>
      <c r="Y1008" s="17"/>
    </row>
    <row r="1009" spans="19:25">
      <c r="S1009" s="28"/>
      <c r="T1009" s="12"/>
      <c r="U1009" s="12"/>
      <c r="V1009" s="17"/>
      <c r="W1009" s="38"/>
      <c r="X1009" s="12"/>
      <c r="Y1009" s="17"/>
    </row>
    <row r="1010" spans="19:25">
      <c r="S1010" s="28"/>
      <c r="T1010" s="12"/>
      <c r="U1010" s="12"/>
      <c r="V1010" s="17"/>
      <c r="W1010" s="38"/>
      <c r="X1010" s="12"/>
      <c r="Y1010" s="17"/>
    </row>
    <row r="1011" spans="19:25">
      <c r="S1011" s="28"/>
      <c r="T1011" s="12"/>
      <c r="U1011" s="12"/>
      <c r="V1011" s="17"/>
      <c r="W1011" s="38"/>
      <c r="X1011" s="12"/>
      <c r="Y1011" s="17"/>
    </row>
    <row r="1012" spans="19:25">
      <c r="S1012" s="28"/>
      <c r="T1012" s="12"/>
      <c r="U1012" s="12"/>
      <c r="V1012" s="17"/>
      <c r="W1012" s="38"/>
      <c r="X1012" s="12"/>
      <c r="Y1012" s="17"/>
    </row>
    <row r="1013" spans="19:25">
      <c r="S1013" s="28"/>
      <c r="T1013" s="12"/>
      <c r="U1013" s="12"/>
      <c r="V1013" s="17"/>
      <c r="W1013" s="38"/>
      <c r="X1013" s="12"/>
      <c r="Y1013" s="17"/>
    </row>
    <row r="1014" spans="19:25">
      <c r="S1014" s="28"/>
      <c r="T1014" s="12"/>
      <c r="U1014" s="12"/>
      <c r="V1014" s="17"/>
      <c r="W1014" s="38"/>
      <c r="X1014" s="12"/>
      <c r="Y1014" s="17"/>
    </row>
    <row r="1015" spans="19:25">
      <c r="S1015" s="28"/>
      <c r="T1015" s="12"/>
      <c r="U1015" s="12"/>
      <c r="V1015" s="17"/>
      <c r="W1015" s="38"/>
      <c r="X1015" s="12"/>
      <c r="Y1015" s="17"/>
    </row>
    <row r="1016" spans="19:25">
      <c r="S1016" s="28"/>
      <c r="T1016" s="12"/>
      <c r="U1016" s="12"/>
      <c r="V1016" s="17"/>
      <c r="W1016" s="38"/>
      <c r="X1016" s="12"/>
      <c r="Y1016" s="17"/>
    </row>
    <row r="1017" spans="19:25">
      <c r="S1017" s="28"/>
      <c r="T1017" s="12"/>
      <c r="U1017" s="12"/>
      <c r="V1017" s="17"/>
      <c r="W1017" s="38"/>
      <c r="X1017" s="12"/>
      <c r="Y1017" s="17"/>
    </row>
    <row r="1018" spans="19:25">
      <c r="S1018" s="28"/>
      <c r="T1018" s="12"/>
      <c r="U1018" s="12"/>
      <c r="V1018" s="17"/>
      <c r="W1018" s="38"/>
      <c r="X1018" s="12"/>
      <c r="Y1018" s="17"/>
    </row>
    <row r="1019" spans="19:25">
      <c r="S1019" s="28"/>
      <c r="T1019" s="12"/>
      <c r="U1019" s="12"/>
      <c r="V1019" s="17"/>
      <c r="W1019" s="38"/>
      <c r="X1019" s="12"/>
      <c r="Y1019" s="17"/>
    </row>
    <row r="1020" spans="19:25">
      <c r="S1020" s="28"/>
      <c r="T1020" s="12"/>
      <c r="U1020" s="12"/>
      <c r="V1020" s="17"/>
      <c r="W1020" s="38"/>
      <c r="X1020" s="12"/>
      <c r="Y1020" s="17"/>
    </row>
    <row r="1021" spans="19:25">
      <c r="S1021" s="28"/>
      <c r="T1021" s="12"/>
      <c r="U1021" s="12"/>
      <c r="V1021" s="17"/>
      <c r="W1021" s="38"/>
      <c r="X1021" s="12"/>
      <c r="Y1021" s="17"/>
    </row>
    <row r="1022" spans="19:25">
      <c r="S1022" s="28"/>
      <c r="T1022" s="12"/>
      <c r="U1022" s="12"/>
      <c r="V1022" s="17"/>
      <c r="W1022" s="38"/>
      <c r="X1022" s="12"/>
      <c r="Y1022" s="17"/>
    </row>
    <row r="1023" spans="19:25">
      <c r="S1023" s="28"/>
      <c r="T1023" s="12"/>
      <c r="U1023" s="12"/>
      <c r="V1023" s="17"/>
      <c r="W1023" s="38"/>
      <c r="X1023" s="12"/>
      <c r="Y1023" s="17"/>
    </row>
    <row r="1024" spans="19:25">
      <c r="S1024" s="28"/>
      <c r="T1024" s="12"/>
      <c r="U1024" s="12"/>
      <c r="V1024" s="17"/>
      <c r="W1024" s="38"/>
      <c r="X1024" s="12"/>
      <c r="Y1024" s="17"/>
    </row>
    <row r="1025" spans="19:25">
      <c r="S1025" s="28"/>
      <c r="T1025" s="12"/>
      <c r="U1025" s="12"/>
      <c r="V1025" s="17"/>
      <c r="W1025" s="38"/>
      <c r="X1025" s="12"/>
      <c r="Y1025" s="17"/>
    </row>
    <row r="1026" spans="19:25">
      <c r="S1026" s="28"/>
      <c r="T1026" s="12"/>
      <c r="U1026" s="12"/>
      <c r="V1026" s="17"/>
      <c r="W1026" s="38"/>
      <c r="X1026" s="12"/>
      <c r="Y1026" s="17"/>
    </row>
    <row r="1027" spans="19:25">
      <c r="S1027" s="28"/>
      <c r="T1027" s="12"/>
      <c r="U1027" s="12"/>
      <c r="V1027" s="17"/>
      <c r="W1027" s="38"/>
      <c r="X1027" s="12"/>
      <c r="Y1027" s="17"/>
    </row>
    <row r="1028" spans="19:25">
      <c r="S1028" s="28"/>
      <c r="T1028" s="12"/>
      <c r="U1028" s="12"/>
      <c r="V1028" s="17"/>
      <c r="W1028" s="38"/>
      <c r="X1028" s="12"/>
      <c r="Y1028" s="17"/>
    </row>
    <row r="1029" spans="19:25">
      <c r="S1029" s="28"/>
      <c r="T1029" s="12"/>
      <c r="U1029" s="12"/>
      <c r="V1029" s="17"/>
      <c r="W1029" s="38"/>
      <c r="X1029" s="12"/>
      <c r="Y1029" s="17"/>
    </row>
    <row r="1030" spans="19:25">
      <c r="S1030" s="28"/>
      <c r="T1030" s="12"/>
      <c r="U1030" s="12"/>
      <c r="V1030" s="17"/>
      <c r="W1030" s="38"/>
      <c r="X1030" s="12"/>
      <c r="Y1030" s="17"/>
    </row>
    <row r="1031" spans="19:25">
      <c r="S1031" s="28"/>
      <c r="T1031" s="12"/>
      <c r="U1031" s="12"/>
      <c r="V1031" s="17"/>
      <c r="W1031" s="38"/>
      <c r="X1031" s="12"/>
      <c r="Y1031" s="17"/>
    </row>
    <row r="1032" spans="19:25">
      <c r="S1032" s="28"/>
      <c r="T1032" s="12"/>
      <c r="U1032" s="12"/>
      <c r="V1032" s="17"/>
      <c r="W1032" s="38"/>
      <c r="X1032" s="12"/>
      <c r="Y1032" s="17"/>
    </row>
    <row r="1033" spans="19:25">
      <c r="S1033" s="28"/>
      <c r="T1033" s="12"/>
      <c r="U1033" s="12"/>
      <c r="V1033" s="17"/>
      <c r="W1033" s="38"/>
      <c r="X1033" s="12"/>
      <c r="Y1033" s="17"/>
    </row>
    <row r="1034" spans="19:25">
      <c r="S1034" s="28"/>
      <c r="T1034" s="12"/>
      <c r="U1034" s="12"/>
      <c r="V1034" s="17"/>
      <c r="W1034" s="38"/>
      <c r="X1034" s="12"/>
      <c r="Y1034" s="17"/>
    </row>
    <row r="1035" spans="19:25">
      <c r="S1035" s="28"/>
      <c r="T1035" s="12"/>
      <c r="U1035" s="12"/>
      <c r="V1035" s="17"/>
      <c r="W1035" s="38"/>
      <c r="X1035" s="12"/>
      <c r="Y1035" s="17"/>
    </row>
    <row r="1036" spans="19:25">
      <c r="S1036" s="28"/>
      <c r="T1036" s="12"/>
      <c r="U1036" s="12"/>
      <c r="V1036" s="17"/>
      <c r="W1036" s="38"/>
      <c r="X1036" s="12"/>
      <c r="Y1036" s="17"/>
    </row>
    <row r="1037" spans="19:25">
      <c r="S1037" s="28"/>
      <c r="T1037" s="12"/>
      <c r="U1037" s="12"/>
      <c r="V1037" s="17"/>
      <c r="W1037" s="38"/>
      <c r="X1037" s="12"/>
      <c r="Y1037" s="17"/>
    </row>
    <row r="1038" spans="19:25">
      <c r="S1038" s="28"/>
      <c r="T1038" s="12"/>
      <c r="U1038" s="12"/>
      <c r="V1038" s="17"/>
      <c r="W1038" s="38"/>
      <c r="X1038" s="12"/>
      <c r="Y1038" s="17"/>
    </row>
    <row r="1039" spans="19:25">
      <c r="S1039" s="28"/>
      <c r="T1039" s="12"/>
      <c r="U1039" s="12"/>
      <c r="V1039" s="17"/>
      <c r="W1039" s="38"/>
      <c r="X1039" s="12"/>
      <c r="Y1039" s="17"/>
    </row>
    <row r="1040" spans="19:25">
      <c r="S1040" s="28"/>
      <c r="T1040" s="12"/>
      <c r="U1040" s="12"/>
      <c r="V1040" s="17"/>
      <c r="W1040" s="38"/>
      <c r="X1040" s="12"/>
      <c r="Y1040" s="17"/>
    </row>
    <row r="1041" spans="19:25">
      <c r="S1041" s="28"/>
      <c r="T1041" s="12"/>
      <c r="U1041" s="12"/>
      <c r="V1041" s="17"/>
      <c r="W1041" s="38"/>
      <c r="X1041" s="12"/>
      <c r="Y1041" s="17"/>
    </row>
    <row r="1042" spans="19:25">
      <c r="S1042" s="28"/>
      <c r="T1042" s="12"/>
      <c r="U1042" s="12"/>
      <c r="V1042" s="17"/>
      <c r="W1042" s="38"/>
      <c r="X1042" s="12"/>
      <c r="Y1042" s="17"/>
    </row>
    <row r="1043" spans="19:25">
      <c r="S1043" s="28"/>
      <c r="T1043" s="12"/>
      <c r="U1043" s="12"/>
      <c r="V1043" s="17"/>
      <c r="W1043" s="38"/>
      <c r="X1043" s="12"/>
      <c r="Y1043" s="17"/>
    </row>
    <row r="1044" spans="19:25">
      <c r="S1044" s="28"/>
      <c r="T1044" s="12"/>
      <c r="U1044" s="12"/>
      <c r="V1044" s="17"/>
      <c r="W1044" s="38"/>
      <c r="X1044" s="12"/>
      <c r="Y1044" s="17"/>
    </row>
    <row r="1045" spans="19:25">
      <c r="S1045" s="28"/>
      <c r="T1045" s="12"/>
      <c r="U1045" s="12"/>
      <c r="V1045" s="17"/>
      <c r="W1045" s="38"/>
      <c r="X1045" s="12"/>
      <c r="Y1045" s="17"/>
    </row>
    <row r="1046" spans="19:25">
      <c r="S1046" s="28"/>
      <c r="T1046" s="12"/>
      <c r="U1046" s="12"/>
      <c r="V1046" s="17"/>
      <c r="W1046" s="38"/>
      <c r="X1046" s="12"/>
      <c r="Y1046" s="17"/>
    </row>
    <row r="1047" spans="19:25">
      <c r="S1047" s="28"/>
      <c r="T1047" s="12"/>
      <c r="U1047" s="12"/>
      <c r="V1047" s="17"/>
      <c r="W1047" s="38"/>
      <c r="X1047" s="12"/>
      <c r="Y1047" s="17"/>
    </row>
    <row r="1048" spans="19:25">
      <c r="S1048" s="28"/>
      <c r="T1048" s="12"/>
      <c r="U1048" s="12"/>
      <c r="V1048" s="17"/>
      <c r="W1048" s="38"/>
      <c r="X1048" s="12"/>
      <c r="Y1048" s="17"/>
    </row>
    <row r="1049" spans="19:25">
      <c r="S1049" s="28"/>
      <c r="T1049" s="12"/>
      <c r="U1049" s="12"/>
      <c r="V1049" s="17"/>
      <c r="W1049" s="38"/>
      <c r="X1049" s="12"/>
      <c r="Y1049" s="17"/>
    </row>
    <row r="1050" spans="19:25">
      <c r="S1050" s="28"/>
      <c r="T1050" s="12"/>
      <c r="U1050" s="12"/>
      <c r="V1050" s="17"/>
      <c r="W1050" s="38"/>
      <c r="X1050" s="12"/>
      <c r="Y1050" s="17"/>
    </row>
    <row r="1051" spans="19:25">
      <c r="S1051" s="28"/>
      <c r="T1051" s="12"/>
      <c r="U1051" s="12"/>
      <c r="V1051" s="17"/>
      <c r="W1051" s="38"/>
      <c r="X1051" s="12"/>
      <c r="Y1051" s="17"/>
    </row>
    <row r="1052" spans="19:25">
      <c r="S1052" s="28"/>
      <c r="T1052" s="12"/>
      <c r="U1052" s="12"/>
      <c r="V1052" s="17"/>
      <c r="W1052" s="38"/>
      <c r="X1052" s="12"/>
      <c r="Y1052" s="17"/>
    </row>
    <row r="1053" spans="19:25">
      <c r="S1053" s="28"/>
      <c r="T1053" s="12"/>
      <c r="U1053" s="12"/>
      <c r="V1053" s="17"/>
      <c r="W1053" s="38"/>
      <c r="X1053" s="12"/>
      <c r="Y1053" s="17"/>
    </row>
    <row r="1054" spans="19:25">
      <c r="S1054" s="28"/>
      <c r="T1054" s="12"/>
      <c r="U1054" s="12"/>
      <c r="V1054" s="17"/>
      <c r="W1054" s="38"/>
      <c r="X1054" s="12"/>
      <c r="Y1054" s="17"/>
    </row>
    <row r="1055" spans="19:25">
      <c r="S1055" s="28"/>
      <c r="T1055" s="12"/>
      <c r="U1055" s="12"/>
      <c r="V1055" s="17"/>
      <c r="W1055" s="38"/>
      <c r="X1055" s="12"/>
      <c r="Y1055" s="17"/>
    </row>
    <row r="1056" spans="19:25">
      <c r="S1056" s="28"/>
      <c r="T1056" s="12"/>
      <c r="U1056" s="12"/>
      <c r="V1056" s="17"/>
      <c r="W1056" s="38"/>
      <c r="X1056" s="12"/>
      <c r="Y1056" s="17"/>
    </row>
    <row r="1057" spans="19:25">
      <c r="S1057" s="28"/>
      <c r="T1057" s="12"/>
      <c r="U1057" s="12"/>
      <c r="V1057" s="17"/>
      <c r="W1057" s="38"/>
      <c r="X1057" s="12"/>
      <c r="Y1057" s="17"/>
    </row>
    <row r="1058" spans="19:25">
      <c r="S1058" s="28"/>
      <c r="T1058" s="12"/>
      <c r="U1058" s="12"/>
      <c r="V1058" s="17"/>
      <c r="W1058" s="38"/>
      <c r="X1058" s="12"/>
      <c r="Y1058" s="17"/>
    </row>
    <row r="1059" spans="19:25">
      <c r="S1059" s="28"/>
      <c r="T1059" s="12"/>
      <c r="U1059" s="12"/>
      <c r="V1059" s="17"/>
      <c r="W1059" s="38"/>
      <c r="X1059" s="12"/>
      <c r="Y1059" s="17"/>
    </row>
    <row r="1060" spans="19:25">
      <c r="S1060" s="28"/>
      <c r="T1060" s="12"/>
      <c r="U1060" s="12"/>
      <c r="V1060" s="17"/>
      <c r="W1060" s="38"/>
      <c r="X1060" s="12"/>
      <c r="Y1060" s="17"/>
    </row>
    <row r="1061" spans="19:25">
      <c r="S1061" s="28"/>
      <c r="T1061" s="12"/>
      <c r="U1061" s="12"/>
      <c r="V1061" s="17"/>
      <c r="W1061" s="38"/>
      <c r="X1061" s="12"/>
      <c r="Y1061" s="17"/>
    </row>
    <row r="1062" spans="19:25">
      <c r="S1062" s="28"/>
      <c r="T1062" s="12"/>
      <c r="U1062" s="12"/>
      <c r="V1062" s="17"/>
      <c r="W1062" s="38"/>
      <c r="X1062" s="12"/>
      <c r="Y1062" s="17"/>
    </row>
    <row r="1063" spans="19:25">
      <c r="S1063" s="28"/>
      <c r="T1063" s="12"/>
      <c r="U1063" s="12"/>
      <c r="V1063" s="17"/>
      <c r="W1063" s="38"/>
      <c r="X1063" s="12"/>
      <c r="Y1063" s="17"/>
    </row>
    <row r="1064" spans="19:25">
      <c r="S1064" s="28"/>
      <c r="T1064" s="12"/>
      <c r="U1064" s="12"/>
      <c r="V1064" s="17"/>
      <c r="W1064" s="38"/>
      <c r="X1064" s="12"/>
      <c r="Y1064" s="17"/>
    </row>
    <row r="1065" spans="19:25">
      <c r="S1065" s="28"/>
      <c r="T1065" s="12"/>
      <c r="U1065" s="12"/>
      <c r="V1065" s="17"/>
      <c r="W1065" s="38"/>
      <c r="X1065" s="12"/>
      <c r="Y1065" s="17"/>
    </row>
    <row r="1066" spans="19:25">
      <c r="S1066" s="28"/>
      <c r="T1066" s="12"/>
      <c r="U1066" s="12"/>
      <c r="V1066" s="17"/>
      <c r="W1066" s="38"/>
      <c r="X1066" s="12"/>
      <c r="Y1066" s="17"/>
    </row>
    <row r="1067" spans="19:25">
      <c r="S1067" s="28"/>
      <c r="T1067" s="12"/>
      <c r="U1067" s="12"/>
      <c r="V1067" s="17"/>
      <c r="W1067" s="38"/>
      <c r="X1067" s="12"/>
      <c r="Y1067" s="17"/>
    </row>
    <row r="1068" spans="19:25">
      <c r="S1068" s="28"/>
      <c r="T1068" s="12"/>
      <c r="U1068" s="12"/>
      <c r="V1068" s="17"/>
      <c r="W1068" s="38"/>
      <c r="X1068" s="12"/>
      <c r="Y1068" s="17"/>
    </row>
    <row r="1069" spans="19:25">
      <c r="S1069" s="28"/>
      <c r="T1069" s="12"/>
      <c r="U1069" s="12"/>
      <c r="V1069" s="17"/>
      <c r="W1069" s="38"/>
      <c r="X1069" s="12"/>
      <c r="Y1069" s="17"/>
    </row>
    <row r="1070" spans="19:25">
      <c r="S1070" s="28"/>
      <c r="T1070" s="12"/>
      <c r="U1070" s="12"/>
      <c r="V1070" s="17"/>
      <c r="W1070" s="38"/>
      <c r="X1070" s="12"/>
      <c r="Y1070" s="17"/>
    </row>
    <row r="1071" spans="19:25">
      <c r="S1071" s="28"/>
      <c r="T1071" s="12"/>
      <c r="U1071" s="12"/>
      <c r="V1071" s="17"/>
      <c r="W1071" s="38"/>
      <c r="X1071" s="12"/>
      <c r="Y1071" s="17"/>
    </row>
    <row r="1072" spans="19:25">
      <c r="S1072" s="28"/>
      <c r="T1072" s="12"/>
      <c r="U1072" s="12"/>
      <c r="V1072" s="17"/>
      <c r="W1072" s="38"/>
      <c r="X1072" s="12"/>
      <c r="Y1072" s="17"/>
    </row>
    <row r="1073" spans="19:25">
      <c r="S1073" s="28"/>
      <c r="T1073" s="12"/>
      <c r="U1073" s="12"/>
      <c r="V1073" s="17"/>
      <c r="W1073" s="38"/>
      <c r="X1073" s="12"/>
      <c r="Y1073" s="17"/>
    </row>
    <row r="1074" spans="19:25">
      <c r="S1074" s="28"/>
      <c r="T1074" s="12"/>
      <c r="U1074" s="12"/>
      <c r="V1074" s="17"/>
      <c r="W1074" s="38"/>
      <c r="X1074" s="12"/>
      <c r="Y1074" s="17"/>
    </row>
    <row r="1075" spans="19:25">
      <c r="S1075" s="28"/>
      <c r="T1075" s="12"/>
      <c r="U1075" s="12"/>
      <c r="V1075" s="17"/>
      <c r="W1075" s="38"/>
      <c r="X1075" s="12"/>
      <c r="Y1075" s="17"/>
    </row>
    <row r="1076" spans="19:25">
      <c r="S1076" s="28"/>
      <c r="T1076" s="12"/>
      <c r="U1076" s="12"/>
      <c r="V1076" s="17"/>
      <c r="W1076" s="38"/>
      <c r="X1076" s="12"/>
      <c r="Y1076" s="17"/>
    </row>
    <row r="1077" spans="19:25">
      <c r="S1077" s="28"/>
      <c r="T1077" s="12"/>
      <c r="U1077" s="12"/>
      <c r="V1077" s="17"/>
      <c r="W1077" s="38"/>
      <c r="X1077" s="12"/>
      <c r="Y1077" s="17"/>
    </row>
    <row r="1078" spans="19:25">
      <c r="S1078" s="28"/>
      <c r="T1078" s="12"/>
      <c r="U1078" s="12"/>
      <c r="V1078" s="17"/>
      <c r="W1078" s="38"/>
      <c r="X1078" s="12"/>
      <c r="Y1078" s="17"/>
    </row>
    <row r="1079" spans="19:25">
      <c r="S1079" s="28"/>
      <c r="T1079" s="12"/>
      <c r="U1079" s="12"/>
      <c r="V1079" s="17"/>
      <c r="W1079" s="38"/>
      <c r="X1079" s="12"/>
      <c r="Y1079" s="17"/>
    </row>
    <row r="1080" spans="19:25">
      <c r="S1080" s="28"/>
      <c r="T1080" s="12"/>
      <c r="U1080" s="12"/>
      <c r="V1080" s="17"/>
      <c r="W1080" s="38"/>
      <c r="X1080" s="12"/>
      <c r="Y1080" s="17"/>
    </row>
    <row r="1081" spans="19:25">
      <c r="S1081" s="28"/>
      <c r="T1081" s="12"/>
      <c r="U1081" s="12"/>
      <c r="V1081" s="17"/>
      <c r="W1081" s="38"/>
      <c r="X1081" s="12"/>
      <c r="Y1081" s="17"/>
    </row>
    <row r="1082" spans="19:25">
      <c r="S1082" s="28"/>
      <c r="T1082" s="12"/>
      <c r="U1082" s="12"/>
      <c r="V1082" s="17"/>
      <c r="W1082" s="38"/>
      <c r="X1082" s="12"/>
      <c r="Y1082" s="17"/>
    </row>
    <row r="1083" spans="19:25">
      <c r="S1083" s="28"/>
      <c r="T1083" s="12"/>
      <c r="U1083" s="12"/>
      <c r="V1083" s="17"/>
      <c r="W1083" s="38"/>
      <c r="X1083" s="12"/>
      <c r="Y1083" s="17"/>
    </row>
    <row r="1084" spans="19:25">
      <c r="S1084" s="28"/>
      <c r="T1084" s="12"/>
      <c r="U1084" s="12"/>
      <c r="V1084" s="17"/>
      <c r="W1084" s="38"/>
      <c r="X1084" s="12"/>
      <c r="Y1084" s="17"/>
    </row>
    <row r="1085" spans="19:25">
      <c r="S1085" s="28"/>
      <c r="T1085" s="12"/>
      <c r="U1085" s="12"/>
      <c r="V1085" s="17"/>
      <c r="W1085" s="38"/>
      <c r="X1085" s="12"/>
      <c r="Y1085" s="17"/>
    </row>
    <row r="1086" spans="19:25">
      <c r="S1086" s="28"/>
      <c r="T1086" s="12"/>
      <c r="U1086" s="12"/>
      <c r="V1086" s="17"/>
      <c r="W1086" s="38"/>
      <c r="X1086" s="12"/>
      <c r="Y1086" s="17"/>
    </row>
    <row r="1087" spans="19:25">
      <c r="S1087" s="28"/>
      <c r="T1087" s="12"/>
      <c r="U1087" s="12"/>
      <c r="V1087" s="17"/>
      <c r="W1087" s="38"/>
      <c r="X1087" s="12"/>
      <c r="Y1087" s="17"/>
    </row>
    <row r="1088" spans="19:25">
      <c r="S1088" s="28"/>
      <c r="T1088" s="12"/>
      <c r="U1088" s="12"/>
      <c r="V1088" s="17"/>
      <c r="W1088" s="38"/>
      <c r="X1088" s="12"/>
      <c r="Y1088" s="17"/>
    </row>
    <row r="1089" spans="19:25">
      <c r="S1089" s="28"/>
      <c r="T1089" s="12"/>
      <c r="U1089" s="12"/>
      <c r="V1089" s="17"/>
      <c r="W1089" s="38"/>
      <c r="X1089" s="12"/>
      <c r="Y1089" s="17"/>
    </row>
    <row r="1090" spans="19:25">
      <c r="S1090" s="28"/>
      <c r="T1090" s="12"/>
      <c r="U1090" s="12"/>
      <c r="V1090" s="17"/>
      <c r="W1090" s="38"/>
      <c r="X1090" s="12"/>
      <c r="Y1090" s="17"/>
    </row>
    <row r="1091" spans="19:25">
      <c r="S1091" s="28"/>
      <c r="T1091" s="12"/>
      <c r="U1091" s="12"/>
      <c r="V1091" s="17"/>
      <c r="W1091" s="38"/>
      <c r="X1091" s="12"/>
      <c r="Y1091" s="17"/>
    </row>
    <row r="1092" spans="19:25">
      <c r="S1092" s="28"/>
      <c r="T1092" s="12"/>
      <c r="U1092" s="12"/>
      <c r="V1092" s="17"/>
      <c r="W1092" s="38"/>
      <c r="X1092" s="12"/>
      <c r="Y1092" s="17"/>
    </row>
    <row r="1093" spans="19:25">
      <c r="S1093" s="28"/>
      <c r="T1093" s="12"/>
      <c r="U1093" s="12"/>
      <c r="V1093" s="17"/>
      <c r="W1093" s="38"/>
      <c r="X1093" s="12"/>
      <c r="Y1093" s="17"/>
    </row>
    <row r="1094" spans="19:25">
      <c r="S1094" s="28"/>
      <c r="T1094" s="12"/>
      <c r="U1094" s="12"/>
      <c r="V1094" s="17"/>
      <c r="W1094" s="38"/>
      <c r="X1094" s="12"/>
      <c r="Y1094" s="17"/>
    </row>
    <row r="1095" spans="19:25">
      <c r="S1095" s="28"/>
      <c r="T1095" s="12"/>
      <c r="U1095" s="12"/>
      <c r="V1095" s="17"/>
      <c r="W1095" s="38"/>
      <c r="X1095" s="12"/>
      <c r="Y1095" s="17"/>
    </row>
    <row r="1096" spans="19:25">
      <c r="S1096" s="28"/>
      <c r="T1096" s="12"/>
      <c r="U1096" s="12"/>
      <c r="V1096" s="17"/>
      <c r="W1096" s="38"/>
      <c r="X1096" s="12"/>
      <c r="Y1096" s="17"/>
    </row>
    <row r="1097" spans="19:25">
      <c r="S1097" s="28"/>
      <c r="T1097" s="12"/>
      <c r="U1097" s="12"/>
      <c r="V1097" s="17"/>
      <c r="W1097" s="38"/>
      <c r="X1097" s="12"/>
      <c r="Y1097" s="17"/>
    </row>
    <row r="1098" spans="19:25">
      <c r="S1098" s="28"/>
      <c r="T1098" s="12"/>
      <c r="U1098" s="12"/>
      <c r="V1098" s="17"/>
      <c r="W1098" s="38"/>
      <c r="X1098" s="12"/>
      <c r="Y1098" s="17"/>
    </row>
    <row r="1099" spans="19:25">
      <c r="S1099" s="28"/>
      <c r="T1099" s="12"/>
      <c r="U1099" s="12"/>
      <c r="V1099" s="17"/>
      <c r="W1099" s="38"/>
      <c r="X1099" s="12"/>
      <c r="Y1099" s="17"/>
    </row>
    <row r="1100" spans="19:25">
      <c r="S1100" s="28"/>
      <c r="T1100" s="12"/>
      <c r="U1100" s="12"/>
      <c r="V1100" s="17"/>
      <c r="W1100" s="38"/>
      <c r="X1100" s="12"/>
      <c r="Y1100" s="17"/>
    </row>
    <row r="1101" spans="19:25">
      <c r="S1101" s="28"/>
      <c r="T1101" s="12"/>
      <c r="U1101" s="12"/>
      <c r="V1101" s="17"/>
      <c r="W1101" s="38"/>
      <c r="X1101" s="12"/>
      <c r="Y1101" s="17"/>
    </row>
    <row r="1102" spans="19:25">
      <c r="S1102" s="28"/>
      <c r="T1102" s="12"/>
      <c r="U1102" s="12"/>
      <c r="V1102" s="17"/>
      <c r="W1102" s="38"/>
      <c r="X1102" s="12"/>
      <c r="Y1102" s="17"/>
    </row>
    <row r="1103" spans="19:25">
      <c r="S1103" s="28"/>
      <c r="T1103" s="12"/>
      <c r="U1103" s="12"/>
      <c r="V1103" s="17"/>
      <c r="W1103" s="38"/>
      <c r="X1103" s="12"/>
      <c r="Y1103" s="17"/>
    </row>
    <row r="1104" spans="19:25">
      <c r="S1104" s="28"/>
      <c r="T1104" s="12"/>
      <c r="U1104" s="12"/>
      <c r="V1104" s="17"/>
      <c r="W1104" s="38"/>
      <c r="X1104" s="12"/>
      <c r="Y1104" s="17"/>
    </row>
    <row r="1105" spans="19:25">
      <c r="S1105" s="28"/>
      <c r="T1105" s="12"/>
      <c r="U1105" s="12"/>
      <c r="V1105" s="17"/>
      <c r="W1105" s="38"/>
      <c r="X1105" s="12"/>
      <c r="Y1105" s="17"/>
    </row>
    <row r="1106" spans="19:25">
      <c r="S1106" s="28"/>
      <c r="T1106" s="12"/>
      <c r="U1106" s="12"/>
      <c r="V1106" s="17"/>
      <c r="W1106" s="38"/>
      <c r="X1106" s="12"/>
      <c r="Y1106" s="17"/>
    </row>
    <row r="1107" spans="19:25">
      <c r="S1107" s="28"/>
      <c r="T1107" s="12"/>
      <c r="U1107" s="12"/>
      <c r="V1107" s="17"/>
      <c r="W1107" s="38"/>
      <c r="X1107" s="12"/>
      <c r="Y1107" s="17"/>
    </row>
    <row r="1108" spans="19:25">
      <c r="S1108" s="28"/>
      <c r="T1108" s="12"/>
      <c r="U1108" s="12"/>
      <c r="V1108" s="17"/>
      <c r="W1108" s="38"/>
      <c r="X1108" s="12"/>
      <c r="Y1108" s="17"/>
    </row>
    <row r="1109" spans="19:25">
      <c r="S1109" s="28"/>
      <c r="T1109" s="12"/>
      <c r="U1109" s="12"/>
      <c r="V1109" s="17"/>
      <c r="W1109" s="38"/>
      <c r="X1109" s="12"/>
      <c r="Y1109" s="17"/>
    </row>
    <row r="1110" spans="19:25">
      <c r="S1110" s="28"/>
      <c r="T1110" s="12"/>
      <c r="U1110" s="12"/>
      <c r="V1110" s="17"/>
      <c r="W1110" s="38"/>
      <c r="X1110" s="12"/>
      <c r="Y1110" s="17"/>
    </row>
    <row r="1111" spans="19:25">
      <c r="S1111" s="28"/>
      <c r="T1111" s="12"/>
      <c r="U1111" s="12"/>
      <c r="V1111" s="17"/>
      <c r="W1111" s="38"/>
      <c r="X1111" s="12"/>
      <c r="Y1111" s="17"/>
    </row>
    <row r="1112" spans="19:25">
      <c r="S1112" s="28"/>
      <c r="T1112" s="12"/>
      <c r="U1112" s="12"/>
      <c r="V1112" s="17"/>
      <c r="W1112" s="38"/>
      <c r="X1112" s="12"/>
      <c r="Y1112" s="17"/>
    </row>
    <row r="1113" spans="19:25">
      <c r="S1113" s="28"/>
      <c r="T1113" s="12"/>
      <c r="U1113" s="12"/>
      <c r="V1113" s="17"/>
      <c r="W1113" s="38"/>
      <c r="X1113" s="12"/>
      <c r="Y1113" s="17"/>
    </row>
    <row r="1114" spans="19:25">
      <c r="S1114" s="28"/>
      <c r="T1114" s="12"/>
      <c r="U1114" s="12"/>
      <c r="V1114" s="17"/>
      <c r="W1114" s="38"/>
      <c r="X1114" s="12"/>
      <c r="Y1114" s="17"/>
    </row>
    <row r="1115" spans="19:25">
      <c r="S1115" s="28"/>
      <c r="T1115" s="12"/>
      <c r="U1115" s="12"/>
      <c r="V1115" s="17"/>
      <c r="W1115" s="38"/>
      <c r="X1115" s="12"/>
      <c r="Y1115" s="17"/>
    </row>
    <row r="1116" spans="19:25">
      <c r="S1116" s="28"/>
      <c r="T1116" s="12"/>
      <c r="U1116" s="12"/>
      <c r="V1116" s="17"/>
      <c r="W1116" s="38"/>
      <c r="X1116" s="12"/>
      <c r="Y1116" s="17"/>
    </row>
    <row r="1117" spans="19:25">
      <c r="S1117" s="28"/>
      <c r="T1117" s="12"/>
      <c r="U1117" s="12"/>
      <c r="V1117" s="17"/>
      <c r="W1117" s="38"/>
      <c r="X1117" s="12"/>
      <c r="Y1117" s="17"/>
    </row>
    <row r="1118" spans="19:25">
      <c r="S1118" s="28"/>
      <c r="T1118" s="12"/>
      <c r="U1118" s="12"/>
      <c r="V1118" s="17"/>
      <c r="W1118" s="38"/>
      <c r="X1118" s="12"/>
      <c r="Y1118" s="17"/>
    </row>
    <row r="1119" spans="19:25">
      <c r="S1119" s="28"/>
      <c r="T1119" s="12"/>
      <c r="U1119" s="12"/>
      <c r="V1119" s="17"/>
      <c r="W1119" s="38"/>
      <c r="X1119" s="12"/>
      <c r="Y1119" s="17"/>
    </row>
    <row r="1120" spans="19:25">
      <c r="S1120" s="28"/>
      <c r="T1120" s="12"/>
      <c r="U1120" s="12"/>
      <c r="V1120" s="17"/>
      <c r="W1120" s="38"/>
      <c r="X1120" s="12"/>
      <c r="Y1120" s="17"/>
    </row>
    <row r="1121" spans="19:25">
      <c r="S1121" s="28"/>
      <c r="T1121" s="12"/>
      <c r="U1121" s="12"/>
      <c r="V1121" s="17"/>
      <c r="W1121" s="38"/>
      <c r="X1121" s="12"/>
      <c r="Y1121" s="17"/>
    </row>
    <row r="1122" spans="19:25">
      <c r="S1122" s="28"/>
      <c r="T1122" s="12"/>
      <c r="U1122" s="12"/>
      <c r="V1122" s="17"/>
      <c r="W1122" s="38"/>
      <c r="X1122" s="12"/>
      <c r="Y1122" s="17"/>
    </row>
    <row r="1123" spans="19:25">
      <c r="S1123" s="28"/>
      <c r="T1123" s="12"/>
      <c r="U1123" s="12"/>
      <c r="V1123" s="17"/>
      <c r="W1123" s="38"/>
      <c r="X1123" s="12"/>
      <c r="Y1123" s="17"/>
    </row>
    <row r="1124" spans="19:25">
      <c r="S1124" s="28"/>
      <c r="T1124" s="12"/>
      <c r="U1124" s="12"/>
      <c r="V1124" s="17"/>
      <c r="W1124" s="38"/>
      <c r="X1124" s="12"/>
      <c r="Y1124" s="17"/>
    </row>
    <row r="1125" spans="19:25">
      <c r="S1125" s="28"/>
      <c r="T1125" s="12"/>
      <c r="U1125" s="12"/>
      <c r="V1125" s="17"/>
      <c r="W1125" s="38"/>
      <c r="X1125" s="12"/>
      <c r="Y1125" s="17"/>
    </row>
    <row r="1126" spans="19:25">
      <c r="S1126" s="28"/>
      <c r="T1126" s="12"/>
      <c r="U1126" s="12"/>
      <c r="V1126" s="17"/>
      <c r="W1126" s="38"/>
      <c r="X1126" s="12"/>
      <c r="Y1126" s="17"/>
    </row>
    <row r="1127" spans="19:25">
      <c r="S1127" s="28"/>
      <c r="T1127" s="12"/>
      <c r="U1127" s="12"/>
      <c r="V1127" s="17"/>
      <c r="W1127" s="38"/>
      <c r="X1127" s="12"/>
      <c r="Y1127" s="17"/>
    </row>
    <row r="1128" spans="19:25">
      <c r="S1128" s="28"/>
      <c r="T1128" s="12"/>
      <c r="U1128" s="12"/>
      <c r="V1128" s="17"/>
      <c r="W1128" s="38"/>
      <c r="X1128" s="12"/>
      <c r="Y1128" s="17"/>
    </row>
    <row r="1129" spans="19:25">
      <c r="S1129" s="28"/>
      <c r="T1129" s="12"/>
      <c r="U1129" s="12"/>
      <c r="V1129" s="17"/>
      <c r="W1129" s="38"/>
      <c r="X1129" s="12"/>
      <c r="Y1129" s="17"/>
    </row>
    <row r="1130" spans="19:25">
      <c r="S1130" s="28"/>
      <c r="T1130" s="12"/>
      <c r="U1130" s="12"/>
      <c r="V1130" s="17"/>
      <c r="W1130" s="38"/>
      <c r="X1130" s="12"/>
      <c r="Y1130" s="17"/>
    </row>
    <row r="1131" spans="19:25">
      <c r="S1131" s="28"/>
      <c r="T1131" s="12"/>
      <c r="U1131" s="12"/>
      <c r="V1131" s="17"/>
      <c r="W1131" s="38"/>
      <c r="X1131" s="12"/>
      <c r="Y1131" s="17"/>
    </row>
    <row r="1132" spans="19:25">
      <c r="S1132" s="28"/>
      <c r="T1132" s="12"/>
      <c r="U1132" s="12"/>
      <c r="V1132" s="17"/>
      <c r="W1132" s="38"/>
      <c r="X1132" s="12"/>
      <c r="Y1132" s="17"/>
    </row>
    <row r="1133" spans="19:25">
      <c r="S1133" s="28"/>
      <c r="T1133" s="12"/>
      <c r="U1133" s="12"/>
      <c r="V1133" s="17"/>
      <c r="W1133" s="38"/>
      <c r="X1133" s="12"/>
      <c r="Y1133" s="17"/>
    </row>
    <row r="1134" spans="19:25">
      <c r="S1134" s="28"/>
      <c r="T1134" s="12"/>
      <c r="U1134" s="12"/>
      <c r="V1134" s="17"/>
      <c r="W1134" s="38"/>
      <c r="X1134" s="12"/>
      <c r="Y1134" s="17"/>
    </row>
    <row r="1135" spans="19:25">
      <c r="S1135" s="28"/>
      <c r="T1135" s="12"/>
      <c r="U1135" s="12"/>
      <c r="V1135" s="17"/>
      <c r="W1135" s="38"/>
      <c r="X1135" s="12"/>
      <c r="Y1135" s="17"/>
    </row>
    <row r="1136" spans="19:25">
      <c r="S1136" s="28"/>
      <c r="T1136" s="12"/>
      <c r="U1136" s="12"/>
      <c r="V1136" s="17"/>
      <c r="W1136" s="38"/>
      <c r="X1136" s="12"/>
      <c r="Y1136" s="17"/>
    </row>
    <row r="1137" spans="19:25">
      <c r="S1137" s="28"/>
      <c r="T1137" s="12"/>
      <c r="U1137" s="12"/>
      <c r="V1137" s="17"/>
      <c r="W1137" s="38"/>
      <c r="X1137" s="12"/>
      <c r="Y1137" s="17"/>
    </row>
    <row r="1138" spans="19:25">
      <c r="S1138" s="28"/>
      <c r="T1138" s="12"/>
      <c r="U1138" s="12"/>
      <c r="V1138" s="17"/>
      <c r="W1138" s="38"/>
      <c r="X1138" s="12"/>
      <c r="Y1138" s="17"/>
    </row>
    <row r="1139" spans="19:25">
      <c r="S1139" s="28"/>
      <c r="T1139" s="12"/>
      <c r="U1139" s="12"/>
      <c r="V1139" s="17"/>
      <c r="W1139" s="38"/>
      <c r="X1139" s="12"/>
      <c r="Y1139" s="17"/>
    </row>
    <row r="1140" spans="19:25">
      <c r="S1140" s="28"/>
      <c r="T1140" s="12"/>
      <c r="U1140" s="12"/>
      <c r="V1140" s="17"/>
      <c r="W1140" s="38"/>
      <c r="X1140" s="12"/>
      <c r="Y1140" s="17"/>
    </row>
    <row r="1141" spans="19:25">
      <c r="S1141" s="28"/>
      <c r="T1141" s="12"/>
      <c r="U1141" s="12"/>
      <c r="V1141" s="17"/>
      <c r="W1141" s="38"/>
      <c r="X1141" s="12"/>
      <c r="Y1141" s="17"/>
    </row>
    <row r="1142" spans="19:25">
      <c r="S1142" s="28"/>
      <c r="T1142" s="12"/>
      <c r="U1142" s="12"/>
      <c r="V1142" s="17"/>
      <c r="W1142" s="38"/>
      <c r="X1142" s="12"/>
      <c r="Y1142" s="17"/>
    </row>
    <row r="1143" spans="19:25">
      <c r="S1143" s="28"/>
      <c r="T1143" s="12"/>
      <c r="U1143" s="12"/>
      <c r="V1143" s="17"/>
      <c r="W1143" s="38"/>
      <c r="X1143" s="12"/>
      <c r="Y1143" s="17"/>
    </row>
    <row r="1144" spans="19:25">
      <c r="S1144" s="28"/>
      <c r="T1144" s="12"/>
      <c r="U1144" s="12"/>
      <c r="V1144" s="17"/>
      <c r="W1144" s="38"/>
      <c r="X1144" s="12"/>
      <c r="Y1144" s="17"/>
    </row>
    <row r="1145" spans="19:25">
      <c r="S1145" s="28"/>
      <c r="T1145" s="12"/>
      <c r="U1145" s="12"/>
      <c r="V1145" s="17"/>
      <c r="W1145" s="38"/>
      <c r="X1145" s="12"/>
      <c r="Y1145" s="17"/>
    </row>
    <row r="1146" spans="19:25">
      <c r="S1146" s="28"/>
      <c r="T1146" s="12"/>
      <c r="U1146" s="12"/>
      <c r="V1146" s="17"/>
      <c r="W1146" s="38"/>
      <c r="X1146" s="12"/>
      <c r="Y1146" s="17"/>
    </row>
    <row r="1147" spans="19:25">
      <c r="S1147" s="28"/>
      <c r="T1147" s="12"/>
      <c r="U1147" s="12"/>
      <c r="V1147" s="17"/>
      <c r="W1147" s="38"/>
      <c r="X1147" s="12"/>
      <c r="Y1147" s="17"/>
    </row>
    <row r="1148" spans="19:25">
      <c r="S1148" s="28"/>
      <c r="T1148" s="12"/>
      <c r="U1148" s="12"/>
      <c r="V1148" s="17"/>
      <c r="W1148" s="38"/>
      <c r="X1148" s="12"/>
      <c r="Y1148" s="17"/>
    </row>
    <row r="1149" spans="19:25">
      <c r="S1149" s="28"/>
      <c r="T1149" s="12"/>
      <c r="U1149" s="12"/>
      <c r="V1149" s="17"/>
      <c r="W1149" s="38"/>
      <c r="X1149" s="12"/>
      <c r="Y1149" s="17"/>
    </row>
    <row r="1150" spans="19:25">
      <c r="S1150" s="28"/>
      <c r="T1150" s="12"/>
      <c r="U1150" s="12"/>
      <c r="V1150" s="17"/>
      <c r="W1150" s="38"/>
      <c r="X1150" s="12"/>
      <c r="Y1150" s="17"/>
    </row>
    <row r="1151" spans="19:25">
      <c r="S1151" s="28"/>
      <c r="T1151" s="12"/>
      <c r="U1151" s="12"/>
      <c r="V1151" s="17"/>
      <c r="W1151" s="38"/>
      <c r="X1151" s="12"/>
      <c r="Y1151" s="17"/>
    </row>
    <row r="1152" spans="19:25">
      <c r="S1152" s="28"/>
      <c r="T1152" s="12"/>
      <c r="U1152" s="12"/>
      <c r="V1152" s="17"/>
      <c r="W1152" s="38"/>
      <c r="X1152" s="12"/>
      <c r="Y1152" s="17"/>
    </row>
    <row r="1153" spans="19:25">
      <c r="S1153" s="28"/>
      <c r="T1153" s="12"/>
      <c r="U1153" s="12"/>
      <c r="V1153" s="17"/>
      <c r="W1153" s="38"/>
      <c r="X1153" s="12"/>
      <c r="Y1153" s="17"/>
    </row>
    <row r="1154" spans="19:25">
      <c r="S1154" s="28"/>
      <c r="T1154" s="12"/>
      <c r="U1154" s="12"/>
      <c r="V1154" s="17"/>
      <c r="W1154" s="38"/>
      <c r="X1154" s="12"/>
      <c r="Y1154" s="17"/>
    </row>
    <row r="1155" spans="19:25">
      <c r="S1155" s="28"/>
      <c r="T1155" s="12"/>
      <c r="U1155" s="12"/>
      <c r="V1155" s="17"/>
      <c r="W1155" s="38"/>
      <c r="X1155" s="12"/>
      <c r="Y1155" s="17"/>
    </row>
    <row r="1156" spans="19:25">
      <c r="S1156" s="28"/>
      <c r="T1156" s="12"/>
      <c r="U1156" s="12"/>
      <c r="V1156" s="17"/>
      <c r="W1156" s="38"/>
      <c r="X1156" s="12"/>
      <c r="Y1156" s="17"/>
    </row>
    <row r="1157" spans="19:25">
      <c r="S1157" s="28"/>
      <c r="T1157" s="12"/>
      <c r="U1157" s="12"/>
      <c r="V1157" s="17"/>
      <c r="W1157" s="38"/>
      <c r="X1157" s="12"/>
      <c r="Y1157" s="17"/>
    </row>
    <row r="1158" spans="19:25">
      <c r="S1158" s="28"/>
      <c r="T1158" s="12"/>
      <c r="U1158" s="12"/>
      <c r="V1158" s="17"/>
      <c r="W1158" s="38"/>
      <c r="X1158" s="12"/>
      <c r="Y1158" s="17"/>
    </row>
    <row r="1159" spans="19:25">
      <c r="S1159" s="28"/>
      <c r="T1159" s="12"/>
      <c r="U1159" s="12"/>
      <c r="V1159" s="17"/>
      <c r="W1159" s="38"/>
      <c r="X1159" s="12"/>
      <c r="Y1159" s="17"/>
    </row>
    <row r="1160" spans="19:25">
      <c r="S1160" s="28"/>
      <c r="T1160" s="12"/>
      <c r="U1160" s="12"/>
      <c r="V1160" s="17"/>
      <c r="W1160" s="38"/>
      <c r="X1160" s="12"/>
      <c r="Y1160" s="17"/>
    </row>
    <row r="1161" spans="19:25">
      <c r="S1161" s="28"/>
      <c r="T1161" s="12"/>
      <c r="U1161" s="12"/>
      <c r="V1161" s="17"/>
      <c r="W1161" s="38"/>
      <c r="X1161" s="12"/>
      <c r="Y1161" s="17"/>
    </row>
    <row r="1162" spans="19:25">
      <c r="S1162" s="28"/>
      <c r="T1162" s="12"/>
      <c r="U1162" s="12"/>
      <c r="V1162" s="17"/>
      <c r="W1162" s="38"/>
      <c r="X1162" s="12"/>
      <c r="Y1162" s="17"/>
    </row>
    <row r="1163" spans="19:25">
      <c r="S1163" s="28"/>
      <c r="T1163" s="12"/>
      <c r="U1163" s="12"/>
      <c r="V1163" s="17"/>
      <c r="W1163" s="38"/>
      <c r="X1163" s="12"/>
      <c r="Y1163" s="17"/>
    </row>
    <row r="1164" spans="19:25">
      <c r="S1164" s="28"/>
      <c r="T1164" s="12"/>
      <c r="U1164" s="12"/>
      <c r="V1164" s="17"/>
      <c r="W1164" s="38"/>
      <c r="X1164" s="12"/>
      <c r="Y1164" s="17"/>
    </row>
    <row r="1165" spans="19:25">
      <c r="S1165" s="28"/>
      <c r="T1165" s="12"/>
      <c r="U1165" s="12"/>
      <c r="V1165" s="17"/>
      <c r="W1165" s="38"/>
      <c r="X1165" s="12"/>
      <c r="Y1165" s="17"/>
    </row>
    <row r="1166" spans="19:25">
      <c r="S1166" s="28"/>
      <c r="T1166" s="12"/>
      <c r="U1166" s="12"/>
      <c r="V1166" s="17"/>
      <c r="W1166" s="38"/>
      <c r="X1166" s="12"/>
      <c r="Y1166" s="17"/>
    </row>
    <row r="1167" spans="19:25">
      <c r="S1167" s="28"/>
      <c r="T1167" s="12"/>
      <c r="U1167" s="12"/>
      <c r="V1167" s="17"/>
      <c r="W1167" s="38"/>
      <c r="X1167" s="12"/>
      <c r="Y1167" s="17"/>
    </row>
    <row r="1168" spans="19:25">
      <c r="S1168" s="28"/>
      <c r="T1168" s="12"/>
      <c r="U1168" s="12"/>
      <c r="V1168" s="17"/>
      <c r="W1168" s="38"/>
      <c r="X1168" s="12"/>
      <c r="Y1168" s="17"/>
    </row>
    <row r="1169" spans="19:25">
      <c r="S1169" s="28"/>
      <c r="T1169" s="12"/>
      <c r="U1169" s="12"/>
      <c r="V1169" s="17"/>
      <c r="W1169" s="38"/>
      <c r="X1169" s="12"/>
      <c r="Y1169" s="17"/>
    </row>
    <row r="1170" spans="19:25">
      <c r="S1170" s="28"/>
      <c r="T1170" s="12"/>
      <c r="U1170" s="12"/>
      <c r="V1170" s="17"/>
      <c r="W1170" s="38"/>
      <c r="X1170" s="12"/>
      <c r="Y1170" s="17"/>
    </row>
    <row r="1171" spans="19:25">
      <c r="S1171" s="28"/>
      <c r="T1171" s="12"/>
      <c r="U1171" s="12"/>
      <c r="V1171" s="17"/>
      <c r="W1171" s="38"/>
      <c r="X1171" s="12"/>
      <c r="Y1171" s="17"/>
    </row>
    <row r="1172" spans="19:25">
      <c r="S1172" s="28"/>
      <c r="T1172" s="12"/>
      <c r="U1172" s="12"/>
      <c r="V1172" s="17"/>
      <c r="W1172" s="38"/>
      <c r="X1172" s="12"/>
      <c r="Y1172" s="17"/>
    </row>
    <row r="1173" spans="19:25">
      <c r="S1173" s="28"/>
      <c r="T1173" s="12"/>
      <c r="U1173" s="12"/>
      <c r="V1173" s="17"/>
      <c r="W1173" s="38"/>
      <c r="X1173" s="12"/>
      <c r="Y1173" s="17"/>
    </row>
    <row r="1174" spans="19:25">
      <c r="S1174" s="28"/>
      <c r="T1174" s="12"/>
      <c r="U1174" s="12"/>
      <c r="V1174" s="17"/>
      <c r="W1174" s="38"/>
      <c r="X1174" s="12"/>
      <c r="Y1174" s="17"/>
    </row>
    <row r="1175" spans="19:25">
      <c r="S1175" s="28"/>
      <c r="T1175" s="12"/>
      <c r="U1175" s="12"/>
      <c r="V1175" s="17"/>
      <c r="W1175" s="38"/>
      <c r="X1175" s="12"/>
      <c r="Y1175" s="17"/>
    </row>
    <row r="1176" spans="19:25">
      <c r="S1176" s="28"/>
      <c r="T1176" s="12"/>
      <c r="U1176" s="12"/>
      <c r="V1176" s="17"/>
      <c r="W1176" s="38"/>
      <c r="X1176" s="12"/>
      <c r="Y1176" s="17"/>
    </row>
    <row r="1177" spans="19:25">
      <c r="S1177" s="28"/>
      <c r="T1177" s="12"/>
      <c r="U1177" s="12"/>
      <c r="V1177" s="17"/>
      <c r="W1177" s="38"/>
      <c r="X1177" s="12"/>
      <c r="Y1177" s="17"/>
    </row>
    <row r="1178" spans="19:25">
      <c r="S1178" s="28"/>
      <c r="T1178" s="12"/>
      <c r="U1178" s="12"/>
      <c r="V1178" s="17"/>
      <c r="W1178" s="38"/>
      <c r="X1178" s="12"/>
      <c r="Y1178" s="17"/>
    </row>
    <row r="1179" spans="19:25">
      <c r="S1179" s="28"/>
      <c r="T1179" s="12"/>
      <c r="U1179" s="12"/>
      <c r="V1179" s="17"/>
      <c r="W1179" s="38"/>
      <c r="X1179" s="12"/>
      <c r="Y1179" s="17"/>
    </row>
    <row r="1180" spans="19:25">
      <c r="S1180" s="28"/>
      <c r="T1180" s="12"/>
      <c r="U1180" s="12"/>
      <c r="V1180" s="17"/>
      <c r="W1180" s="38"/>
      <c r="X1180" s="12"/>
      <c r="Y1180" s="17"/>
    </row>
    <row r="1181" spans="19:25">
      <c r="S1181" s="28"/>
      <c r="T1181" s="12"/>
      <c r="U1181" s="12"/>
      <c r="V1181" s="17"/>
      <c r="W1181" s="38"/>
      <c r="X1181" s="12"/>
      <c r="Y1181" s="17"/>
    </row>
    <row r="1182" spans="19:25">
      <c r="S1182" s="28"/>
      <c r="T1182" s="12"/>
      <c r="U1182" s="12"/>
      <c r="V1182" s="17"/>
      <c r="W1182" s="38"/>
      <c r="X1182" s="12"/>
      <c r="Y1182" s="17"/>
    </row>
    <row r="1183" spans="19:25">
      <c r="S1183" s="28"/>
      <c r="T1183" s="12"/>
      <c r="U1183" s="12"/>
      <c r="V1183" s="17"/>
      <c r="W1183" s="38"/>
      <c r="X1183" s="12"/>
      <c r="Y1183" s="17"/>
    </row>
    <row r="1184" spans="19:25">
      <c r="S1184" s="28"/>
      <c r="T1184" s="12"/>
      <c r="U1184" s="12"/>
      <c r="V1184" s="17"/>
      <c r="W1184" s="38"/>
      <c r="X1184" s="12"/>
      <c r="Y1184" s="17"/>
    </row>
    <row r="1185" spans="19:25">
      <c r="S1185" s="28"/>
      <c r="T1185" s="12"/>
      <c r="U1185" s="12"/>
      <c r="V1185" s="17"/>
      <c r="W1185" s="38"/>
      <c r="X1185" s="12"/>
      <c r="Y1185" s="17"/>
    </row>
    <row r="1186" spans="19:25">
      <c r="S1186" s="28"/>
      <c r="T1186" s="12"/>
      <c r="U1186" s="12"/>
      <c r="V1186" s="17"/>
      <c r="W1186" s="38"/>
      <c r="X1186" s="12"/>
      <c r="Y1186" s="17"/>
    </row>
    <row r="1187" spans="19:25">
      <c r="S1187" s="28"/>
      <c r="T1187" s="12"/>
      <c r="U1187" s="12"/>
      <c r="V1187" s="17"/>
      <c r="W1187" s="38"/>
      <c r="X1187" s="12"/>
      <c r="Y1187" s="17"/>
    </row>
    <row r="1188" spans="19:25">
      <c r="S1188" s="28"/>
      <c r="T1188" s="12"/>
      <c r="U1188" s="12"/>
      <c r="V1188" s="17"/>
      <c r="W1188" s="38"/>
      <c r="X1188" s="12"/>
      <c r="Y1188" s="17"/>
    </row>
    <row r="1189" spans="19:25">
      <c r="S1189" s="28"/>
      <c r="T1189" s="12"/>
      <c r="U1189" s="12"/>
      <c r="V1189" s="17"/>
      <c r="W1189" s="38"/>
      <c r="X1189" s="12"/>
      <c r="Y1189" s="17"/>
    </row>
    <row r="1190" spans="19:25">
      <c r="S1190" s="28"/>
      <c r="T1190" s="12"/>
      <c r="U1190" s="12"/>
      <c r="V1190" s="17"/>
      <c r="W1190" s="38"/>
      <c r="X1190" s="12"/>
      <c r="Y1190" s="17"/>
    </row>
    <row r="1191" spans="19:25">
      <c r="S1191" s="28"/>
      <c r="T1191" s="12"/>
      <c r="U1191" s="12"/>
      <c r="V1191" s="17"/>
      <c r="W1191" s="38"/>
      <c r="X1191" s="12"/>
      <c r="Y1191" s="17"/>
    </row>
    <row r="1192" spans="19:25">
      <c r="S1192" s="28"/>
      <c r="T1192" s="12"/>
      <c r="U1192" s="12"/>
      <c r="V1192" s="17"/>
      <c r="W1192" s="38"/>
      <c r="X1192" s="12"/>
      <c r="Y1192" s="17"/>
    </row>
    <row r="1193" spans="19:25">
      <c r="S1193" s="28"/>
      <c r="T1193" s="12"/>
      <c r="U1193" s="12"/>
      <c r="V1193" s="17"/>
      <c r="W1193" s="38"/>
      <c r="X1193" s="12"/>
      <c r="Y1193" s="17"/>
    </row>
    <row r="1194" spans="19:25">
      <c r="S1194" s="28"/>
      <c r="T1194" s="12"/>
      <c r="U1194" s="12"/>
      <c r="V1194" s="17"/>
      <c r="W1194" s="38"/>
      <c r="X1194" s="12"/>
      <c r="Y1194" s="17"/>
    </row>
    <row r="1195" spans="19:25">
      <c r="S1195" s="28"/>
      <c r="T1195" s="12"/>
      <c r="U1195" s="12"/>
      <c r="V1195" s="17"/>
      <c r="W1195" s="38"/>
      <c r="X1195" s="12"/>
      <c r="Y1195" s="17"/>
    </row>
    <row r="1196" spans="19:25">
      <c r="S1196" s="28"/>
      <c r="T1196" s="12"/>
      <c r="U1196" s="12"/>
      <c r="V1196" s="17"/>
      <c r="W1196" s="38"/>
      <c r="X1196" s="12"/>
      <c r="Y1196" s="17"/>
    </row>
    <row r="1197" spans="19:25">
      <c r="S1197" s="28"/>
      <c r="T1197" s="12"/>
      <c r="U1197" s="12"/>
      <c r="V1197" s="17"/>
      <c r="W1197" s="38"/>
      <c r="X1197" s="12"/>
      <c r="Y1197" s="17"/>
    </row>
    <row r="1198" spans="19:25">
      <c r="S1198" s="28"/>
      <c r="T1198" s="12"/>
      <c r="U1198" s="12"/>
      <c r="V1198" s="17"/>
      <c r="W1198" s="38"/>
      <c r="X1198" s="12"/>
      <c r="Y1198" s="17"/>
    </row>
    <row r="1199" spans="19:25">
      <c r="S1199" s="28"/>
      <c r="T1199" s="12"/>
      <c r="U1199" s="12"/>
      <c r="V1199" s="17"/>
      <c r="W1199" s="38"/>
      <c r="X1199" s="12"/>
      <c r="Y1199" s="17"/>
    </row>
    <row r="1200" spans="19:25">
      <c r="S1200" s="28"/>
      <c r="T1200" s="12"/>
      <c r="U1200" s="12"/>
      <c r="V1200" s="17"/>
      <c r="W1200" s="38"/>
      <c r="X1200" s="12"/>
      <c r="Y1200" s="17"/>
    </row>
    <row r="1201" spans="19:25">
      <c r="S1201" s="28"/>
      <c r="T1201" s="12"/>
      <c r="U1201" s="12"/>
      <c r="V1201" s="17"/>
      <c r="W1201" s="38"/>
      <c r="X1201" s="12"/>
      <c r="Y1201" s="17"/>
    </row>
    <row r="1202" spans="19:25">
      <c r="S1202" s="28"/>
      <c r="T1202" s="12"/>
      <c r="U1202" s="12"/>
      <c r="V1202" s="17"/>
      <c r="W1202" s="38"/>
      <c r="X1202" s="12"/>
      <c r="Y1202" s="17"/>
    </row>
    <row r="1203" spans="19:25">
      <c r="S1203" s="28"/>
      <c r="T1203" s="12"/>
      <c r="U1203" s="12"/>
      <c r="V1203" s="17"/>
      <c r="W1203" s="38"/>
      <c r="X1203" s="12"/>
      <c r="Y1203" s="17"/>
    </row>
    <row r="1204" spans="19:25">
      <c r="S1204" s="28"/>
      <c r="T1204" s="12"/>
      <c r="U1204" s="12"/>
      <c r="V1204" s="17"/>
      <c r="W1204" s="38"/>
      <c r="X1204" s="12"/>
      <c r="Y1204" s="17"/>
    </row>
    <row r="1205" spans="19:25">
      <c r="S1205" s="28"/>
      <c r="T1205" s="12"/>
      <c r="U1205" s="12"/>
      <c r="V1205" s="17"/>
      <c r="W1205" s="38"/>
      <c r="X1205" s="12"/>
      <c r="Y1205" s="17"/>
    </row>
    <row r="1206" spans="19:25">
      <c r="S1206" s="28"/>
      <c r="T1206" s="12"/>
      <c r="U1206" s="12"/>
      <c r="V1206" s="17"/>
      <c r="W1206" s="38"/>
      <c r="X1206" s="12"/>
      <c r="Y1206" s="17"/>
    </row>
    <row r="1207" spans="19:25">
      <c r="S1207" s="28"/>
      <c r="T1207" s="12"/>
      <c r="U1207" s="12"/>
      <c r="V1207" s="17"/>
      <c r="W1207" s="38"/>
      <c r="X1207" s="12"/>
      <c r="Y1207" s="17"/>
    </row>
    <row r="1208" spans="19:25">
      <c r="S1208" s="28"/>
      <c r="T1208" s="12"/>
      <c r="U1208" s="12"/>
      <c r="V1208" s="17"/>
      <c r="W1208" s="38"/>
      <c r="X1208" s="12"/>
      <c r="Y1208" s="17"/>
    </row>
    <row r="1209" spans="19:25">
      <c r="S1209" s="28"/>
      <c r="T1209" s="12"/>
      <c r="U1209" s="12"/>
      <c r="V1209" s="17"/>
      <c r="W1209" s="38"/>
      <c r="X1209" s="12"/>
      <c r="Y1209" s="17"/>
    </row>
    <row r="1210" spans="19:25">
      <c r="S1210" s="28"/>
      <c r="T1210" s="12"/>
      <c r="U1210" s="12"/>
      <c r="V1210" s="17"/>
      <c r="W1210" s="38"/>
      <c r="X1210" s="12"/>
      <c r="Y1210" s="17"/>
    </row>
    <row r="1211" spans="19:25">
      <c r="S1211" s="28"/>
      <c r="T1211" s="12"/>
      <c r="U1211" s="12"/>
      <c r="V1211" s="17"/>
      <c r="W1211" s="38"/>
      <c r="X1211" s="12"/>
      <c r="Y1211" s="17"/>
    </row>
    <row r="1212" spans="19:25">
      <c r="S1212" s="28"/>
      <c r="T1212" s="12"/>
      <c r="U1212" s="12"/>
      <c r="V1212" s="17"/>
      <c r="W1212" s="38"/>
      <c r="X1212" s="12"/>
      <c r="Y1212" s="17"/>
    </row>
    <row r="1213" spans="19:25">
      <c r="S1213" s="28"/>
      <c r="T1213" s="12"/>
      <c r="U1213" s="12"/>
      <c r="V1213" s="17"/>
      <c r="W1213" s="38"/>
      <c r="X1213" s="12"/>
      <c r="Y1213" s="17"/>
    </row>
    <row r="1214" spans="19:25">
      <c r="S1214" s="28"/>
      <c r="T1214" s="12"/>
      <c r="U1214" s="12"/>
      <c r="V1214" s="17"/>
      <c r="W1214" s="38"/>
      <c r="X1214" s="12"/>
      <c r="Y1214" s="17"/>
    </row>
    <row r="1215" spans="19:25">
      <c r="S1215" s="28"/>
      <c r="T1215" s="12"/>
      <c r="U1215" s="12"/>
      <c r="V1215" s="17"/>
      <c r="W1215" s="38"/>
      <c r="X1215" s="12"/>
      <c r="Y1215" s="17"/>
    </row>
    <row r="1216" spans="19:25">
      <c r="S1216" s="28"/>
      <c r="T1216" s="12"/>
      <c r="U1216" s="12"/>
      <c r="V1216" s="17"/>
      <c r="W1216" s="38"/>
      <c r="X1216" s="12"/>
      <c r="Y1216" s="17"/>
    </row>
    <row r="1217" spans="19:25">
      <c r="S1217" s="28"/>
      <c r="T1217" s="12"/>
      <c r="U1217" s="12"/>
      <c r="V1217" s="17"/>
      <c r="W1217" s="38"/>
      <c r="X1217" s="12"/>
      <c r="Y1217" s="17"/>
    </row>
    <row r="1218" spans="19:25">
      <c r="S1218" s="28"/>
      <c r="T1218" s="12"/>
      <c r="U1218" s="12"/>
      <c r="V1218" s="17"/>
      <c r="W1218" s="38"/>
      <c r="X1218" s="12"/>
      <c r="Y1218" s="17"/>
    </row>
    <row r="1219" spans="19:25">
      <c r="S1219" s="28"/>
      <c r="T1219" s="12"/>
      <c r="U1219" s="12"/>
      <c r="V1219" s="17"/>
      <c r="W1219" s="38"/>
      <c r="X1219" s="12"/>
      <c r="Y1219" s="17"/>
    </row>
    <row r="1220" spans="19:25">
      <c r="S1220" s="28"/>
      <c r="T1220" s="12"/>
      <c r="U1220" s="12"/>
      <c r="V1220" s="17"/>
      <c r="W1220" s="38"/>
      <c r="X1220" s="12"/>
      <c r="Y1220" s="17"/>
    </row>
    <row r="1221" spans="19:25">
      <c r="S1221" s="28"/>
      <c r="T1221" s="12"/>
      <c r="U1221" s="12"/>
      <c r="V1221" s="17"/>
      <c r="W1221" s="38"/>
      <c r="X1221" s="12"/>
      <c r="Y1221" s="17"/>
    </row>
    <row r="1222" spans="19:25">
      <c r="S1222" s="28"/>
      <c r="T1222" s="12"/>
      <c r="U1222" s="12"/>
      <c r="V1222" s="17"/>
      <c r="W1222" s="38"/>
      <c r="X1222" s="12"/>
      <c r="Y1222" s="17"/>
    </row>
    <row r="1223" spans="19:25">
      <c r="S1223" s="28"/>
      <c r="T1223" s="12"/>
      <c r="U1223" s="12"/>
      <c r="V1223" s="17"/>
      <c r="W1223" s="38"/>
      <c r="X1223" s="12"/>
      <c r="Y1223" s="17"/>
    </row>
    <row r="1224" spans="19:25">
      <c r="S1224" s="28"/>
      <c r="T1224" s="12"/>
      <c r="U1224" s="12"/>
      <c r="V1224" s="17"/>
      <c r="W1224" s="38"/>
      <c r="X1224" s="12"/>
      <c r="Y1224" s="17"/>
    </row>
    <row r="1225" spans="19:25">
      <c r="S1225" s="28"/>
      <c r="T1225" s="12"/>
      <c r="U1225" s="12"/>
      <c r="V1225" s="17"/>
      <c r="W1225" s="38"/>
      <c r="X1225" s="12"/>
      <c r="Y1225" s="17"/>
    </row>
    <row r="1226" spans="19:25">
      <c r="S1226" s="28"/>
      <c r="T1226" s="12"/>
      <c r="U1226" s="12"/>
      <c r="V1226" s="17"/>
      <c r="W1226" s="38"/>
      <c r="X1226" s="12"/>
      <c r="Y1226" s="17"/>
    </row>
    <row r="1227" spans="19:25">
      <c r="S1227" s="28"/>
      <c r="T1227" s="12"/>
      <c r="U1227" s="12"/>
      <c r="V1227" s="17"/>
      <c r="W1227" s="38"/>
      <c r="X1227" s="12"/>
      <c r="Y1227" s="17"/>
    </row>
    <row r="1228" spans="19:25">
      <c r="S1228" s="28"/>
      <c r="T1228" s="12"/>
      <c r="U1228" s="12"/>
      <c r="V1228" s="17"/>
      <c r="W1228" s="38"/>
      <c r="X1228" s="12"/>
      <c r="Y1228" s="17"/>
    </row>
    <row r="1229" spans="19:25">
      <c r="S1229" s="28"/>
      <c r="T1229" s="12"/>
      <c r="U1229" s="12"/>
      <c r="V1229" s="17"/>
      <c r="W1229" s="38"/>
      <c r="X1229" s="12"/>
      <c r="Y1229" s="17"/>
    </row>
    <row r="1230" spans="19:25">
      <c r="S1230" s="28"/>
      <c r="T1230" s="12"/>
      <c r="U1230" s="12"/>
      <c r="V1230" s="17"/>
      <c r="W1230" s="38"/>
      <c r="X1230" s="12"/>
      <c r="Y1230" s="17"/>
    </row>
    <row r="1231" spans="19:25">
      <c r="S1231" s="28"/>
      <c r="T1231" s="12"/>
      <c r="U1231" s="12"/>
      <c r="V1231" s="17"/>
      <c r="W1231" s="38"/>
      <c r="X1231" s="12"/>
      <c r="Y1231" s="17"/>
    </row>
    <row r="1232" spans="19:25">
      <c r="S1232" s="28"/>
      <c r="T1232" s="12"/>
      <c r="U1232" s="12"/>
      <c r="V1232" s="17"/>
      <c r="W1232" s="38"/>
      <c r="X1232" s="12"/>
      <c r="Y1232" s="17"/>
    </row>
    <row r="1233" spans="19:25">
      <c r="S1233" s="28"/>
      <c r="T1233" s="12"/>
      <c r="U1233" s="12"/>
      <c r="V1233" s="17"/>
      <c r="W1233" s="38"/>
      <c r="X1233" s="12"/>
      <c r="Y1233" s="17"/>
    </row>
    <row r="1234" spans="19:25">
      <c r="S1234" s="28"/>
      <c r="T1234" s="12"/>
      <c r="U1234" s="12"/>
      <c r="V1234" s="17"/>
      <c r="W1234" s="38"/>
      <c r="X1234" s="12"/>
      <c r="Y1234" s="17"/>
    </row>
    <row r="1235" spans="19:25">
      <c r="S1235" s="28"/>
      <c r="T1235" s="12"/>
      <c r="U1235" s="12"/>
      <c r="V1235" s="17"/>
      <c r="W1235" s="38"/>
      <c r="X1235" s="12"/>
      <c r="Y1235" s="17"/>
    </row>
    <row r="1236" spans="19:25">
      <c r="S1236" s="28"/>
      <c r="T1236" s="12"/>
      <c r="U1236" s="12"/>
      <c r="V1236" s="17"/>
      <c r="W1236" s="38"/>
      <c r="X1236" s="12"/>
      <c r="Y1236" s="17"/>
    </row>
    <row r="1237" spans="19:25">
      <c r="S1237" s="28"/>
      <c r="T1237" s="12"/>
      <c r="U1237" s="12"/>
      <c r="V1237" s="17"/>
      <c r="W1237" s="38"/>
      <c r="X1237" s="12"/>
      <c r="Y1237" s="17"/>
    </row>
    <row r="1238" spans="19:25">
      <c r="S1238" s="28"/>
      <c r="T1238" s="12"/>
      <c r="U1238" s="12"/>
      <c r="V1238" s="17"/>
      <c r="W1238" s="38"/>
      <c r="X1238" s="12"/>
      <c r="Y1238" s="17"/>
    </row>
    <row r="1239" spans="19:25">
      <c r="S1239" s="28"/>
      <c r="T1239" s="12"/>
      <c r="U1239" s="12"/>
      <c r="V1239" s="17"/>
      <c r="W1239" s="38"/>
      <c r="X1239" s="12"/>
      <c r="Y1239" s="17"/>
    </row>
    <row r="1240" spans="19:25">
      <c r="S1240" s="28"/>
      <c r="T1240" s="12"/>
      <c r="U1240" s="12"/>
      <c r="V1240" s="17"/>
      <c r="W1240" s="38"/>
      <c r="X1240" s="12"/>
      <c r="Y1240" s="17"/>
    </row>
    <row r="1241" spans="19:25">
      <c r="S1241" s="28"/>
      <c r="T1241" s="12"/>
      <c r="U1241" s="12"/>
      <c r="V1241" s="17"/>
      <c r="W1241" s="38"/>
      <c r="X1241" s="12"/>
      <c r="Y1241" s="17"/>
    </row>
    <row r="1242" spans="19:25">
      <c r="S1242" s="28"/>
      <c r="T1242" s="12"/>
      <c r="U1242" s="12"/>
      <c r="V1242" s="17"/>
      <c r="W1242" s="38"/>
      <c r="X1242" s="12"/>
      <c r="Y1242" s="17"/>
    </row>
    <row r="1243" spans="19:25">
      <c r="S1243" s="28"/>
      <c r="T1243" s="12"/>
      <c r="U1243" s="12"/>
      <c r="V1243" s="17"/>
      <c r="W1243" s="38"/>
      <c r="X1243" s="12"/>
      <c r="Y1243" s="17"/>
    </row>
    <row r="1244" spans="19:25">
      <c r="S1244" s="28"/>
      <c r="T1244" s="12"/>
      <c r="U1244" s="12"/>
      <c r="V1244" s="17"/>
      <c r="W1244" s="38"/>
      <c r="X1244" s="12"/>
      <c r="Y1244" s="17"/>
    </row>
    <row r="1245" spans="19:25">
      <c r="S1245" s="28"/>
      <c r="T1245" s="12"/>
      <c r="U1245" s="12"/>
      <c r="V1245" s="17"/>
      <c r="W1245" s="38"/>
      <c r="X1245" s="12"/>
      <c r="Y1245" s="17"/>
    </row>
    <row r="1246" spans="19:25">
      <c r="S1246" s="28"/>
      <c r="T1246" s="12"/>
      <c r="U1246" s="12"/>
      <c r="V1246" s="17"/>
      <c r="W1246" s="38"/>
      <c r="X1246" s="12"/>
      <c r="Y1246" s="17"/>
    </row>
    <row r="1247" spans="19:25">
      <c r="S1247" s="28"/>
      <c r="T1247" s="12"/>
      <c r="U1247" s="12"/>
      <c r="V1247" s="17"/>
      <c r="W1247" s="38"/>
      <c r="X1247" s="12"/>
      <c r="Y1247" s="17"/>
    </row>
    <row r="1248" spans="19:25">
      <c r="S1248" s="28"/>
      <c r="T1248" s="12"/>
      <c r="U1248" s="12"/>
      <c r="V1248" s="17"/>
      <c r="W1248" s="38"/>
      <c r="X1248" s="12"/>
      <c r="Y1248" s="17"/>
    </row>
    <row r="1249" spans="19:25">
      <c r="S1249" s="28"/>
      <c r="T1249" s="12"/>
      <c r="U1249" s="12"/>
      <c r="V1249" s="17"/>
      <c r="W1249" s="38"/>
      <c r="X1249" s="12"/>
      <c r="Y1249" s="17"/>
    </row>
    <row r="1250" spans="19:25">
      <c r="S1250" s="28"/>
      <c r="T1250" s="12"/>
      <c r="U1250" s="12"/>
      <c r="V1250" s="17"/>
      <c r="W1250" s="38"/>
      <c r="X1250" s="12"/>
      <c r="Y1250" s="17"/>
    </row>
    <row r="1251" spans="19:25">
      <c r="S1251" s="28"/>
      <c r="T1251" s="12"/>
      <c r="U1251" s="12"/>
      <c r="V1251" s="17"/>
      <c r="W1251" s="38"/>
      <c r="X1251" s="12"/>
      <c r="Y1251" s="17"/>
    </row>
    <row r="1252" spans="19:25">
      <c r="S1252" s="28"/>
      <c r="T1252" s="12"/>
      <c r="U1252" s="12"/>
      <c r="V1252" s="17"/>
      <c r="W1252" s="38"/>
      <c r="X1252" s="12"/>
      <c r="Y1252" s="17"/>
    </row>
    <row r="1253" spans="19:25">
      <c r="S1253" s="28"/>
      <c r="T1253" s="12"/>
      <c r="U1253" s="12"/>
      <c r="V1253" s="17"/>
      <c r="W1253" s="38"/>
      <c r="X1253" s="12"/>
      <c r="Y1253" s="17"/>
    </row>
    <row r="1254" spans="19:25">
      <c r="S1254" s="28"/>
      <c r="T1254" s="12"/>
      <c r="U1254" s="12"/>
      <c r="V1254" s="17"/>
      <c r="W1254" s="38"/>
      <c r="X1254" s="12"/>
      <c r="Y1254" s="17"/>
    </row>
    <row r="1255" spans="19:25">
      <c r="S1255" s="28"/>
      <c r="T1255" s="12"/>
      <c r="U1255" s="12"/>
      <c r="V1255" s="17"/>
      <c r="W1255" s="38"/>
      <c r="X1255" s="12"/>
      <c r="Y1255" s="17"/>
    </row>
    <row r="1256" spans="19:25">
      <c r="S1256" s="28"/>
      <c r="T1256" s="12"/>
      <c r="U1256" s="12"/>
      <c r="V1256" s="17"/>
      <c r="W1256" s="38"/>
      <c r="X1256" s="12"/>
      <c r="Y1256" s="17"/>
    </row>
    <row r="1257" spans="19:25">
      <c r="S1257" s="28"/>
      <c r="T1257" s="12"/>
      <c r="U1257" s="12"/>
      <c r="V1257" s="17"/>
      <c r="W1257" s="38"/>
      <c r="X1257" s="12"/>
      <c r="Y1257" s="17"/>
    </row>
    <row r="1258" spans="19:25">
      <c r="S1258" s="28"/>
      <c r="T1258" s="12"/>
      <c r="U1258" s="12"/>
      <c r="V1258" s="17"/>
      <c r="W1258" s="38"/>
      <c r="X1258" s="12"/>
      <c r="Y1258" s="17"/>
    </row>
    <row r="1259" spans="19:25">
      <c r="S1259" s="28"/>
      <c r="T1259" s="12"/>
      <c r="U1259" s="12"/>
      <c r="V1259" s="17"/>
      <c r="W1259" s="38"/>
      <c r="X1259" s="12"/>
      <c r="Y1259" s="17"/>
    </row>
    <row r="1260" spans="19:25">
      <c r="S1260" s="28"/>
      <c r="T1260" s="12"/>
      <c r="U1260" s="12"/>
      <c r="V1260" s="17"/>
      <c r="W1260" s="38"/>
      <c r="X1260" s="12"/>
      <c r="Y1260" s="17"/>
    </row>
    <row r="1261" spans="19:25">
      <c r="S1261" s="28"/>
      <c r="T1261" s="12"/>
      <c r="U1261" s="12"/>
      <c r="V1261" s="17"/>
      <c r="W1261" s="38"/>
      <c r="X1261" s="12"/>
      <c r="Y1261" s="17"/>
    </row>
    <row r="1262" spans="19:25">
      <c r="S1262" s="28"/>
      <c r="T1262" s="12"/>
      <c r="U1262" s="12"/>
      <c r="V1262" s="17"/>
      <c r="W1262" s="38"/>
      <c r="X1262" s="12"/>
      <c r="Y1262" s="17"/>
    </row>
    <row r="1263" spans="19:25">
      <c r="S1263" s="28"/>
      <c r="T1263" s="12"/>
      <c r="U1263" s="12"/>
      <c r="V1263" s="17"/>
      <c r="W1263" s="38"/>
      <c r="X1263" s="12"/>
      <c r="Y1263" s="17"/>
    </row>
    <row r="1264" spans="19:25">
      <c r="S1264" s="28"/>
      <c r="T1264" s="12"/>
      <c r="U1264" s="12"/>
      <c r="V1264" s="17"/>
      <c r="W1264" s="38"/>
      <c r="X1264" s="12"/>
      <c r="Y1264" s="17"/>
    </row>
    <row r="1265" spans="19:25">
      <c r="S1265" s="28"/>
      <c r="T1265" s="12"/>
      <c r="U1265" s="12"/>
      <c r="V1265" s="17"/>
      <c r="W1265" s="38"/>
      <c r="X1265" s="12"/>
      <c r="Y1265" s="17"/>
    </row>
    <row r="1266" spans="19:25">
      <c r="S1266" s="28"/>
      <c r="T1266" s="12"/>
      <c r="U1266" s="12"/>
      <c r="V1266" s="17"/>
      <c r="W1266" s="38"/>
      <c r="X1266" s="12"/>
      <c r="Y1266" s="17"/>
    </row>
    <row r="1267" spans="19:25">
      <c r="S1267" s="28"/>
      <c r="T1267" s="12"/>
      <c r="U1267" s="12"/>
      <c r="V1267" s="17"/>
      <c r="W1267" s="38"/>
      <c r="X1267" s="12"/>
      <c r="Y1267" s="17"/>
    </row>
    <row r="1268" spans="19:25">
      <c r="S1268" s="28"/>
      <c r="T1268" s="12"/>
      <c r="U1268" s="12"/>
      <c r="V1268" s="17"/>
      <c r="W1268" s="38"/>
      <c r="X1268" s="12"/>
      <c r="Y1268" s="17"/>
    </row>
    <row r="1269" spans="19:25">
      <c r="S1269" s="28"/>
      <c r="T1269" s="12"/>
      <c r="U1269" s="12"/>
      <c r="V1269" s="17"/>
      <c r="W1269" s="38"/>
      <c r="X1269" s="12"/>
      <c r="Y1269" s="17"/>
    </row>
    <row r="1270" spans="19:25">
      <c r="S1270" s="28"/>
      <c r="T1270" s="12"/>
      <c r="U1270" s="12"/>
      <c r="V1270" s="17"/>
      <c r="W1270" s="38"/>
      <c r="X1270" s="12"/>
      <c r="Y1270" s="17"/>
    </row>
    <row r="1271" spans="19:25">
      <c r="S1271" s="28"/>
      <c r="T1271" s="12"/>
      <c r="U1271" s="12"/>
      <c r="V1271" s="17"/>
      <c r="W1271" s="38"/>
      <c r="X1271" s="12"/>
      <c r="Y1271" s="17"/>
    </row>
    <row r="1272" spans="19:25">
      <c r="S1272" s="28"/>
      <c r="T1272" s="12"/>
      <c r="U1272" s="12"/>
      <c r="V1272" s="17"/>
      <c r="W1272" s="38"/>
      <c r="X1272" s="12"/>
      <c r="Y1272" s="17"/>
    </row>
    <row r="1273" spans="19:25">
      <c r="S1273" s="28"/>
      <c r="T1273" s="12"/>
      <c r="U1273" s="12"/>
      <c r="V1273" s="17"/>
      <c r="W1273" s="38"/>
      <c r="X1273" s="12"/>
      <c r="Y1273" s="17"/>
    </row>
    <row r="1274" spans="19:25">
      <c r="S1274" s="28"/>
      <c r="T1274" s="12"/>
      <c r="U1274" s="12"/>
      <c r="V1274" s="17"/>
      <c r="W1274" s="38"/>
      <c r="X1274" s="12"/>
      <c r="Y1274" s="17"/>
    </row>
    <row r="1275" spans="19:25">
      <c r="S1275" s="28"/>
      <c r="T1275" s="12"/>
      <c r="U1275" s="12"/>
      <c r="V1275" s="17"/>
      <c r="W1275" s="38"/>
      <c r="X1275" s="12"/>
      <c r="Y1275" s="17"/>
    </row>
    <row r="1276" spans="19:25">
      <c r="S1276" s="28"/>
      <c r="T1276" s="12"/>
      <c r="U1276" s="12"/>
      <c r="V1276" s="17"/>
      <c r="W1276" s="38"/>
      <c r="X1276" s="12"/>
      <c r="Y1276" s="17"/>
    </row>
    <row r="1277" spans="19:25">
      <c r="S1277" s="28"/>
      <c r="T1277" s="12"/>
      <c r="U1277" s="12"/>
      <c r="V1277" s="17"/>
      <c r="W1277" s="38"/>
      <c r="X1277" s="12"/>
      <c r="Y1277" s="17"/>
    </row>
    <row r="1278" spans="19:25">
      <c r="S1278" s="28"/>
      <c r="T1278" s="12"/>
      <c r="U1278" s="12"/>
      <c r="V1278" s="17"/>
      <c r="W1278" s="38"/>
      <c r="X1278" s="12"/>
      <c r="Y1278" s="17"/>
    </row>
    <row r="1279" spans="19:25">
      <c r="S1279" s="28"/>
      <c r="T1279" s="12"/>
      <c r="U1279" s="12"/>
      <c r="V1279" s="17"/>
      <c r="W1279" s="38"/>
      <c r="X1279" s="12"/>
      <c r="Y1279" s="17"/>
    </row>
    <row r="1280" spans="19:25">
      <c r="S1280" s="28"/>
      <c r="T1280" s="12"/>
      <c r="U1280" s="12"/>
      <c r="V1280" s="17"/>
      <c r="W1280" s="38"/>
      <c r="X1280" s="12"/>
      <c r="Y1280" s="17"/>
    </row>
    <row r="1281" spans="19:25">
      <c r="S1281" s="28"/>
      <c r="T1281" s="12"/>
      <c r="U1281" s="12"/>
      <c r="V1281" s="17"/>
      <c r="W1281" s="38"/>
      <c r="X1281" s="12"/>
      <c r="Y1281" s="17"/>
    </row>
    <row r="1282" spans="19:25">
      <c r="S1282" s="28"/>
      <c r="T1282" s="12"/>
      <c r="U1282" s="12"/>
      <c r="V1282" s="17"/>
      <c r="W1282" s="38"/>
      <c r="X1282" s="12"/>
      <c r="Y1282" s="17"/>
    </row>
    <row r="1283" spans="19:25">
      <c r="S1283" s="28"/>
      <c r="T1283" s="12"/>
      <c r="U1283" s="12"/>
      <c r="V1283" s="17"/>
      <c r="W1283" s="38"/>
      <c r="X1283" s="12"/>
      <c r="Y1283" s="17"/>
    </row>
    <row r="1284" spans="19:25">
      <c r="S1284" s="28"/>
      <c r="T1284" s="12"/>
      <c r="U1284" s="12"/>
      <c r="V1284" s="17"/>
      <c r="W1284" s="38"/>
      <c r="X1284" s="12"/>
      <c r="Y1284" s="17"/>
    </row>
    <row r="1285" spans="19:25">
      <c r="S1285" s="28"/>
      <c r="T1285" s="12"/>
      <c r="U1285" s="12"/>
      <c r="V1285" s="17"/>
      <c r="W1285" s="38"/>
      <c r="X1285" s="12"/>
      <c r="Y1285" s="17"/>
    </row>
    <row r="1286" spans="19:25">
      <c r="S1286" s="28"/>
      <c r="T1286" s="12"/>
      <c r="U1286" s="12"/>
      <c r="V1286" s="17"/>
      <c r="W1286" s="38"/>
      <c r="X1286" s="12"/>
      <c r="Y1286" s="17"/>
    </row>
    <row r="1287" spans="19:25">
      <c r="S1287" s="28"/>
      <c r="T1287" s="12"/>
      <c r="U1287" s="12"/>
      <c r="V1287" s="17"/>
      <c r="W1287" s="38"/>
      <c r="X1287" s="12"/>
      <c r="Y1287" s="17"/>
    </row>
    <row r="1288" spans="19:25">
      <c r="S1288" s="28"/>
      <c r="T1288" s="12"/>
      <c r="U1288" s="12"/>
      <c r="V1288" s="17"/>
      <c r="W1288" s="38"/>
      <c r="X1288" s="12"/>
      <c r="Y1288" s="17"/>
    </row>
    <row r="1289" spans="19:25">
      <c r="S1289" s="28"/>
      <c r="T1289" s="12"/>
      <c r="U1289" s="12"/>
      <c r="V1289" s="17"/>
      <c r="W1289" s="38"/>
      <c r="X1289" s="12"/>
      <c r="Y1289" s="17"/>
    </row>
    <row r="1290" spans="19:25">
      <c r="S1290" s="28"/>
      <c r="T1290" s="12"/>
      <c r="U1290" s="12"/>
      <c r="V1290" s="17"/>
      <c r="W1290" s="38"/>
      <c r="X1290" s="12"/>
      <c r="Y1290" s="17"/>
    </row>
    <row r="1291" spans="19:25">
      <c r="S1291" s="28"/>
      <c r="T1291" s="12"/>
      <c r="U1291" s="12"/>
      <c r="V1291" s="17"/>
      <c r="W1291" s="38"/>
      <c r="X1291" s="12"/>
      <c r="Y1291" s="17"/>
    </row>
    <row r="1292" spans="19:25">
      <c r="S1292" s="28"/>
      <c r="T1292" s="12"/>
      <c r="U1292" s="12"/>
      <c r="V1292" s="17"/>
      <c r="W1292" s="38"/>
      <c r="X1292" s="12"/>
      <c r="Y1292" s="17"/>
    </row>
    <row r="1293" spans="19:25">
      <c r="S1293" s="28"/>
      <c r="T1293" s="12"/>
      <c r="U1293" s="12"/>
      <c r="V1293" s="17"/>
      <c r="W1293" s="38"/>
      <c r="X1293" s="12"/>
      <c r="Y1293" s="17"/>
    </row>
    <row r="1294" spans="19:25">
      <c r="S1294" s="28"/>
      <c r="T1294" s="12"/>
      <c r="U1294" s="12"/>
      <c r="V1294" s="17"/>
      <c r="W1294" s="38"/>
      <c r="X1294" s="12"/>
      <c r="Y1294" s="17"/>
    </row>
    <row r="1295" spans="19:25">
      <c r="S1295" s="28"/>
      <c r="T1295" s="12"/>
      <c r="U1295" s="12"/>
      <c r="V1295" s="17"/>
      <c r="W1295" s="38"/>
      <c r="X1295" s="12"/>
      <c r="Y1295" s="17"/>
    </row>
    <row r="1296" spans="19:25">
      <c r="S1296" s="28"/>
      <c r="T1296" s="12"/>
      <c r="U1296" s="12"/>
      <c r="V1296" s="17"/>
      <c r="W1296" s="38"/>
      <c r="X1296" s="12"/>
      <c r="Y1296" s="17"/>
    </row>
    <row r="1297" spans="19:25">
      <c r="S1297" s="28"/>
      <c r="T1297" s="12"/>
      <c r="U1297" s="12"/>
      <c r="V1297" s="17"/>
      <c r="W1297" s="38"/>
      <c r="X1297" s="12"/>
      <c r="Y1297" s="17"/>
    </row>
    <row r="1298" spans="19:25">
      <c r="S1298" s="28"/>
      <c r="T1298" s="12"/>
      <c r="U1298" s="12"/>
      <c r="V1298" s="17"/>
      <c r="W1298" s="38"/>
      <c r="X1298" s="12"/>
      <c r="Y1298" s="17"/>
    </row>
    <row r="1299" spans="19:25">
      <c r="S1299" s="28"/>
      <c r="T1299" s="12"/>
      <c r="U1299" s="12"/>
      <c r="V1299" s="17"/>
      <c r="W1299" s="38"/>
      <c r="X1299" s="12"/>
      <c r="Y1299" s="17"/>
    </row>
    <row r="1300" spans="19:25">
      <c r="S1300" s="28"/>
      <c r="T1300" s="12"/>
      <c r="U1300" s="12"/>
      <c r="V1300" s="17"/>
      <c r="W1300" s="38"/>
      <c r="X1300" s="12"/>
      <c r="Y1300" s="17"/>
    </row>
    <row r="1301" spans="19:25">
      <c r="S1301" s="28"/>
      <c r="T1301" s="12"/>
      <c r="U1301" s="12"/>
      <c r="V1301" s="17"/>
      <c r="W1301" s="38"/>
      <c r="X1301" s="12"/>
      <c r="Y1301" s="17"/>
    </row>
    <row r="1302" spans="19:25">
      <c r="S1302" s="28"/>
      <c r="T1302" s="12"/>
      <c r="U1302" s="12"/>
      <c r="V1302" s="17"/>
      <c r="W1302" s="38"/>
      <c r="X1302" s="12"/>
      <c r="Y1302" s="17"/>
    </row>
    <row r="1303" spans="19:25">
      <c r="S1303" s="28"/>
      <c r="T1303" s="12"/>
      <c r="U1303" s="12"/>
      <c r="V1303" s="17"/>
      <c r="W1303" s="38"/>
      <c r="X1303" s="12"/>
      <c r="Y1303" s="17"/>
    </row>
    <row r="1304" spans="19:25">
      <c r="S1304" s="28"/>
      <c r="T1304" s="12"/>
      <c r="U1304" s="12"/>
      <c r="V1304" s="17"/>
      <c r="W1304" s="38"/>
      <c r="X1304" s="12"/>
      <c r="Y1304" s="17"/>
    </row>
    <row r="1305" spans="19:25">
      <c r="S1305" s="28"/>
      <c r="T1305" s="12"/>
      <c r="U1305" s="12"/>
      <c r="V1305" s="17"/>
      <c r="W1305" s="38"/>
      <c r="X1305" s="12"/>
      <c r="Y1305" s="17"/>
    </row>
    <row r="1306" spans="19:25">
      <c r="S1306" s="28"/>
      <c r="T1306" s="12"/>
      <c r="U1306" s="12"/>
      <c r="V1306" s="17"/>
      <c r="W1306" s="38"/>
      <c r="X1306" s="12"/>
      <c r="Y1306" s="17"/>
    </row>
    <row r="1307" spans="19:25">
      <c r="S1307" s="28"/>
      <c r="T1307" s="12"/>
      <c r="U1307" s="12"/>
      <c r="V1307" s="17"/>
      <c r="W1307" s="38"/>
      <c r="X1307" s="12"/>
      <c r="Y1307" s="17"/>
    </row>
    <row r="1308" spans="19:25">
      <c r="S1308" s="28"/>
      <c r="T1308" s="12"/>
      <c r="U1308" s="12"/>
      <c r="V1308" s="17"/>
      <c r="W1308" s="38"/>
      <c r="X1308" s="12"/>
      <c r="Y1308" s="17"/>
    </row>
    <row r="1309" spans="19:25">
      <c r="S1309" s="28"/>
      <c r="T1309" s="12"/>
      <c r="U1309" s="12"/>
      <c r="V1309" s="17"/>
      <c r="W1309" s="38"/>
      <c r="X1309" s="12"/>
      <c r="Y1309" s="17"/>
    </row>
    <row r="1310" spans="19:25">
      <c r="S1310" s="28"/>
      <c r="T1310" s="12"/>
      <c r="U1310" s="12"/>
      <c r="V1310" s="17"/>
      <c r="W1310" s="38"/>
      <c r="X1310" s="12"/>
      <c r="Y1310" s="17"/>
    </row>
    <row r="1311" spans="19:25">
      <c r="S1311" s="28"/>
      <c r="T1311" s="12"/>
      <c r="U1311" s="12"/>
      <c r="V1311" s="17"/>
      <c r="W1311" s="38"/>
      <c r="X1311" s="12"/>
      <c r="Y1311" s="17"/>
    </row>
    <row r="1312" spans="19:25">
      <c r="S1312" s="28"/>
      <c r="T1312" s="12"/>
      <c r="U1312" s="12"/>
      <c r="V1312" s="17"/>
      <c r="W1312" s="38"/>
      <c r="X1312" s="12"/>
      <c r="Y1312" s="17"/>
    </row>
    <row r="1313" spans="19:25">
      <c r="S1313" s="28"/>
      <c r="T1313" s="12"/>
      <c r="U1313" s="12"/>
      <c r="V1313" s="17"/>
      <c r="W1313" s="38"/>
      <c r="X1313" s="12"/>
      <c r="Y1313" s="17"/>
    </row>
    <row r="1314" spans="19:25">
      <c r="S1314" s="28"/>
      <c r="T1314" s="12"/>
      <c r="U1314" s="12"/>
      <c r="V1314" s="17"/>
      <c r="W1314" s="38"/>
      <c r="X1314" s="12"/>
      <c r="Y1314" s="17"/>
    </row>
    <row r="1315" spans="19:25">
      <c r="S1315" s="28"/>
      <c r="T1315" s="12"/>
      <c r="U1315" s="12"/>
      <c r="V1315" s="17"/>
      <c r="W1315" s="38"/>
      <c r="X1315" s="12"/>
      <c r="Y1315" s="17"/>
    </row>
    <row r="1316" spans="19:25">
      <c r="S1316" s="28"/>
      <c r="T1316" s="12"/>
      <c r="U1316" s="12"/>
      <c r="V1316" s="17"/>
      <c r="W1316" s="38"/>
      <c r="X1316" s="12"/>
      <c r="Y1316" s="17"/>
    </row>
    <row r="1317" spans="19:25">
      <c r="S1317" s="28"/>
      <c r="T1317" s="12"/>
      <c r="U1317" s="12"/>
      <c r="V1317" s="17"/>
      <c r="W1317" s="38"/>
      <c r="X1317" s="12"/>
      <c r="Y1317" s="17"/>
    </row>
    <row r="1318" spans="19:25">
      <c r="S1318" s="28"/>
      <c r="T1318" s="12"/>
      <c r="U1318" s="12"/>
      <c r="V1318" s="17"/>
      <c r="W1318" s="38"/>
      <c r="X1318" s="12"/>
      <c r="Y1318" s="17"/>
    </row>
    <row r="1319" spans="19:25">
      <c r="S1319" s="28"/>
      <c r="T1319" s="12"/>
      <c r="U1319" s="12"/>
      <c r="V1319" s="17"/>
      <c r="W1319" s="38"/>
      <c r="X1319" s="12"/>
      <c r="Y1319" s="17"/>
    </row>
    <row r="1320" spans="19:25">
      <c r="S1320" s="28"/>
      <c r="T1320" s="12"/>
      <c r="U1320" s="12"/>
      <c r="V1320" s="17"/>
      <c r="W1320" s="38"/>
      <c r="X1320" s="12"/>
      <c r="Y1320" s="17"/>
    </row>
    <row r="1321" spans="19:25">
      <c r="S1321" s="28"/>
      <c r="T1321" s="12"/>
      <c r="U1321" s="12"/>
      <c r="V1321" s="17"/>
      <c r="W1321" s="38"/>
      <c r="X1321" s="12"/>
      <c r="Y1321" s="17"/>
    </row>
    <row r="1322" spans="19:25">
      <c r="S1322" s="28"/>
      <c r="T1322" s="12"/>
      <c r="U1322" s="12"/>
      <c r="V1322" s="17"/>
      <c r="W1322" s="38"/>
      <c r="X1322" s="12"/>
      <c r="Y1322" s="17"/>
    </row>
    <row r="1323" spans="19:25">
      <c r="S1323" s="28"/>
      <c r="T1323" s="12"/>
      <c r="U1323" s="12"/>
      <c r="V1323" s="17"/>
      <c r="W1323" s="38"/>
      <c r="X1323" s="12"/>
      <c r="Y1323" s="17"/>
    </row>
    <row r="1324" spans="19:25">
      <c r="S1324" s="28"/>
      <c r="T1324" s="12"/>
      <c r="U1324" s="12"/>
      <c r="V1324" s="17"/>
      <c r="W1324" s="38"/>
      <c r="X1324" s="12"/>
      <c r="Y1324" s="17"/>
    </row>
    <row r="1325" spans="19:25">
      <c r="S1325" s="28"/>
      <c r="T1325" s="12"/>
      <c r="U1325" s="12"/>
      <c r="V1325" s="17"/>
      <c r="W1325" s="38"/>
      <c r="X1325" s="12"/>
      <c r="Y1325" s="17"/>
    </row>
    <row r="1326" spans="19:25">
      <c r="S1326" s="28"/>
      <c r="T1326" s="12"/>
      <c r="U1326" s="12"/>
      <c r="V1326" s="17"/>
      <c r="W1326" s="38"/>
      <c r="X1326" s="12"/>
      <c r="Y1326" s="17"/>
    </row>
    <row r="1327" spans="19:25">
      <c r="S1327" s="28"/>
      <c r="T1327" s="12"/>
      <c r="U1327" s="12"/>
      <c r="V1327" s="17"/>
      <c r="W1327" s="38"/>
      <c r="X1327" s="12"/>
      <c r="Y1327" s="17"/>
    </row>
    <row r="1328" spans="19:25">
      <c r="S1328" s="28"/>
      <c r="T1328" s="12"/>
      <c r="U1328" s="12"/>
      <c r="V1328" s="17"/>
      <c r="W1328" s="38"/>
      <c r="X1328" s="12"/>
      <c r="Y1328" s="17"/>
    </row>
    <row r="1329" spans="19:25">
      <c r="S1329" s="28"/>
      <c r="T1329" s="12"/>
      <c r="U1329" s="12"/>
      <c r="V1329" s="17"/>
      <c r="W1329" s="38"/>
      <c r="X1329" s="12"/>
      <c r="Y1329" s="17"/>
    </row>
    <row r="1330" spans="19:25">
      <c r="S1330" s="28"/>
      <c r="T1330" s="12"/>
      <c r="U1330" s="12"/>
      <c r="V1330" s="17"/>
      <c r="W1330" s="38"/>
      <c r="X1330" s="12"/>
      <c r="Y1330" s="17"/>
    </row>
    <row r="1331" spans="19:25">
      <c r="S1331" s="28"/>
      <c r="T1331" s="12"/>
      <c r="U1331" s="12"/>
      <c r="V1331" s="17"/>
      <c r="W1331" s="38"/>
      <c r="X1331" s="12"/>
      <c r="Y1331" s="17"/>
    </row>
    <row r="1332" spans="19:25">
      <c r="S1332" s="28"/>
      <c r="T1332" s="12"/>
      <c r="U1332" s="12"/>
      <c r="V1332" s="17"/>
      <c r="W1332" s="38"/>
      <c r="X1332" s="12"/>
      <c r="Y1332" s="17"/>
    </row>
    <row r="1333" spans="19:25">
      <c r="S1333" s="28"/>
      <c r="T1333" s="12"/>
      <c r="U1333" s="12"/>
      <c r="V1333" s="17"/>
      <c r="W1333" s="38"/>
      <c r="X1333" s="12"/>
      <c r="Y1333" s="17"/>
    </row>
    <row r="1334" spans="19:25">
      <c r="S1334" s="28"/>
      <c r="T1334" s="12"/>
      <c r="U1334" s="12"/>
      <c r="V1334" s="17"/>
      <c r="W1334" s="38"/>
      <c r="X1334" s="12"/>
      <c r="Y1334" s="17"/>
    </row>
    <row r="1335" spans="19:25">
      <c r="S1335" s="28"/>
      <c r="T1335" s="12"/>
      <c r="U1335" s="12"/>
      <c r="V1335" s="17"/>
      <c r="W1335" s="38"/>
      <c r="X1335" s="12"/>
      <c r="Y1335" s="17"/>
    </row>
    <row r="1336" spans="19:25">
      <c r="S1336" s="28"/>
      <c r="T1336" s="12"/>
      <c r="U1336" s="12"/>
      <c r="V1336" s="17"/>
      <c r="W1336" s="38"/>
      <c r="X1336" s="12"/>
      <c r="Y1336" s="17"/>
    </row>
    <row r="1337" spans="19:25">
      <c r="S1337" s="28"/>
      <c r="T1337" s="12"/>
      <c r="U1337" s="12"/>
      <c r="V1337" s="17"/>
      <c r="W1337" s="38"/>
      <c r="X1337" s="12"/>
      <c r="Y1337" s="17"/>
    </row>
    <row r="1338" spans="19:25">
      <c r="S1338" s="28"/>
      <c r="T1338" s="12"/>
      <c r="U1338" s="12"/>
      <c r="V1338" s="17"/>
      <c r="W1338" s="38"/>
      <c r="X1338" s="12"/>
      <c r="Y1338" s="17"/>
    </row>
    <row r="1339" spans="19:25">
      <c r="S1339" s="28"/>
      <c r="T1339" s="12"/>
      <c r="U1339" s="12"/>
      <c r="V1339" s="17"/>
      <c r="W1339" s="38"/>
      <c r="X1339" s="12"/>
      <c r="Y1339" s="17"/>
    </row>
    <row r="1340" spans="19:25">
      <c r="S1340" s="28"/>
      <c r="T1340" s="12"/>
      <c r="U1340" s="12"/>
      <c r="V1340" s="17"/>
      <c r="W1340" s="38"/>
      <c r="X1340" s="12"/>
      <c r="Y1340" s="17"/>
    </row>
    <row r="1341" spans="19:25">
      <c r="S1341" s="28"/>
      <c r="T1341" s="12"/>
      <c r="U1341" s="12"/>
      <c r="V1341" s="17"/>
      <c r="W1341" s="38"/>
      <c r="X1341" s="12"/>
      <c r="Y1341" s="17"/>
    </row>
    <row r="1342" spans="19:25">
      <c r="S1342" s="28"/>
      <c r="T1342" s="12"/>
      <c r="U1342" s="12"/>
      <c r="V1342" s="17"/>
      <c r="W1342" s="38"/>
      <c r="X1342" s="12"/>
      <c r="Y1342" s="17"/>
    </row>
    <row r="1343" spans="19:25">
      <c r="S1343" s="28"/>
      <c r="T1343" s="12"/>
      <c r="U1343" s="12"/>
      <c r="V1343" s="17"/>
      <c r="W1343" s="38"/>
      <c r="X1343" s="12"/>
      <c r="Y1343" s="17"/>
    </row>
    <row r="1344" spans="19:25">
      <c r="S1344" s="28"/>
      <c r="T1344" s="12"/>
      <c r="U1344" s="12"/>
      <c r="V1344" s="17"/>
      <c r="W1344" s="38"/>
      <c r="X1344" s="12"/>
      <c r="Y1344" s="17"/>
    </row>
    <row r="1345" spans="19:25">
      <c r="S1345" s="28"/>
      <c r="T1345" s="12"/>
      <c r="U1345" s="12"/>
      <c r="V1345" s="17"/>
      <c r="W1345" s="38"/>
      <c r="X1345" s="12"/>
      <c r="Y1345" s="17"/>
    </row>
    <row r="1346" spans="19:25">
      <c r="S1346" s="28"/>
      <c r="T1346" s="12"/>
      <c r="U1346" s="12"/>
      <c r="V1346" s="17"/>
      <c r="W1346" s="38"/>
      <c r="X1346" s="12"/>
      <c r="Y1346" s="17"/>
    </row>
    <row r="1347" spans="19:25">
      <c r="S1347" s="28"/>
      <c r="T1347" s="12"/>
      <c r="U1347" s="12"/>
      <c r="V1347" s="17"/>
      <c r="W1347" s="38"/>
      <c r="X1347" s="12"/>
      <c r="Y1347" s="17"/>
    </row>
    <row r="1348" spans="19:25">
      <c r="S1348" s="28"/>
      <c r="T1348" s="12"/>
      <c r="U1348" s="12"/>
      <c r="V1348" s="17"/>
      <c r="W1348" s="38"/>
      <c r="X1348" s="12"/>
      <c r="Y1348" s="17"/>
    </row>
    <row r="1349" spans="19:25">
      <c r="S1349" s="28"/>
      <c r="T1349" s="12"/>
      <c r="U1349" s="12"/>
      <c r="V1349" s="17"/>
      <c r="W1349" s="38"/>
      <c r="X1349" s="12"/>
      <c r="Y1349" s="17"/>
    </row>
    <row r="1350" spans="19:25">
      <c r="S1350" s="28"/>
      <c r="T1350" s="12"/>
      <c r="U1350" s="12"/>
      <c r="V1350" s="17"/>
      <c r="W1350" s="38"/>
      <c r="X1350" s="12"/>
      <c r="Y1350" s="17"/>
    </row>
    <row r="1351" spans="19:25">
      <c r="S1351" s="28"/>
      <c r="T1351" s="12"/>
      <c r="U1351" s="12"/>
      <c r="V1351" s="17"/>
      <c r="W1351" s="38"/>
      <c r="X1351" s="12"/>
      <c r="Y1351" s="17"/>
    </row>
    <row r="1352" spans="19:25">
      <c r="S1352" s="28"/>
      <c r="T1352" s="12"/>
      <c r="U1352" s="12"/>
      <c r="V1352" s="17"/>
      <c r="W1352" s="38"/>
      <c r="X1352" s="12"/>
      <c r="Y1352" s="17"/>
    </row>
    <row r="1353" spans="19:25">
      <c r="S1353" s="28"/>
      <c r="T1353" s="12"/>
      <c r="U1353" s="12"/>
      <c r="V1353" s="17"/>
      <c r="W1353" s="38"/>
      <c r="X1353" s="12"/>
      <c r="Y1353" s="17"/>
    </row>
    <row r="1354" spans="19:25">
      <c r="S1354" s="28"/>
      <c r="T1354" s="12"/>
      <c r="U1354" s="12"/>
      <c r="V1354" s="17"/>
      <c r="W1354" s="38"/>
      <c r="X1354" s="12"/>
      <c r="Y1354" s="17"/>
    </row>
    <row r="1355" spans="19:25">
      <c r="S1355" s="28"/>
      <c r="T1355" s="12"/>
      <c r="U1355" s="12"/>
      <c r="V1355" s="17"/>
      <c r="W1355" s="38"/>
      <c r="X1355" s="12"/>
      <c r="Y1355" s="17"/>
    </row>
    <row r="1356" spans="19:25">
      <c r="S1356" s="28"/>
      <c r="T1356" s="12"/>
      <c r="U1356" s="12"/>
      <c r="V1356" s="17"/>
      <c r="W1356" s="38"/>
      <c r="X1356" s="12"/>
      <c r="Y1356" s="17"/>
    </row>
    <row r="1357" spans="19:25">
      <c r="S1357" s="28"/>
      <c r="T1357" s="12"/>
      <c r="U1357" s="12"/>
      <c r="V1357" s="17"/>
      <c r="W1357" s="38"/>
      <c r="X1357" s="12"/>
      <c r="Y1357" s="17"/>
    </row>
    <row r="1358" spans="19:25">
      <c r="S1358" s="28"/>
      <c r="T1358" s="12"/>
      <c r="U1358" s="12"/>
      <c r="V1358" s="17"/>
      <c r="W1358" s="38"/>
      <c r="X1358" s="12"/>
      <c r="Y1358" s="17"/>
    </row>
    <row r="1359" spans="19:25">
      <c r="S1359" s="28"/>
      <c r="T1359" s="12"/>
      <c r="U1359" s="12"/>
      <c r="V1359" s="17"/>
      <c r="W1359" s="38"/>
      <c r="X1359" s="12"/>
      <c r="Y1359" s="17"/>
    </row>
    <row r="1360" spans="19:25">
      <c r="S1360" s="28"/>
      <c r="T1360" s="12"/>
      <c r="U1360" s="12"/>
      <c r="V1360" s="17"/>
      <c r="W1360" s="38"/>
      <c r="X1360" s="12"/>
      <c r="Y1360" s="17"/>
    </row>
    <row r="1361" spans="19:25">
      <c r="S1361" s="28"/>
      <c r="T1361" s="12"/>
      <c r="U1361" s="12"/>
      <c r="V1361" s="17"/>
      <c r="W1361" s="38"/>
      <c r="X1361" s="12"/>
      <c r="Y1361" s="17"/>
    </row>
    <row r="1362" spans="19:25">
      <c r="S1362" s="28"/>
      <c r="T1362" s="12"/>
      <c r="U1362" s="12"/>
      <c r="V1362" s="17"/>
      <c r="W1362" s="38"/>
      <c r="X1362" s="12"/>
      <c r="Y1362" s="17"/>
    </row>
    <row r="1363" spans="19:25">
      <c r="S1363" s="28"/>
      <c r="T1363" s="12"/>
      <c r="U1363" s="12"/>
      <c r="V1363" s="17"/>
      <c r="W1363" s="38"/>
      <c r="X1363" s="12"/>
      <c r="Y1363" s="17"/>
    </row>
    <row r="1364" spans="19:25">
      <c r="S1364" s="28"/>
      <c r="T1364" s="12"/>
      <c r="U1364" s="12"/>
      <c r="V1364" s="17"/>
      <c r="W1364" s="38"/>
      <c r="X1364" s="12"/>
      <c r="Y1364" s="17"/>
    </row>
    <row r="1365" spans="19:25">
      <c r="S1365" s="28"/>
      <c r="T1365" s="12"/>
      <c r="U1365" s="12"/>
      <c r="V1365" s="17"/>
      <c r="W1365" s="38"/>
      <c r="X1365" s="12"/>
      <c r="Y1365" s="17"/>
    </row>
    <row r="1366" spans="19:25">
      <c r="S1366" s="28"/>
      <c r="T1366" s="12"/>
      <c r="U1366" s="12"/>
      <c r="V1366" s="17"/>
      <c r="W1366" s="38"/>
      <c r="X1366" s="12"/>
      <c r="Y1366" s="17"/>
    </row>
    <row r="1367" spans="19:25">
      <c r="S1367" s="28"/>
      <c r="T1367" s="12"/>
      <c r="U1367" s="12"/>
      <c r="V1367" s="17"/>
      <c r="W1367" s="38"/>
      <c r="X1367" s="12"/>
      <c r="Y1367" s="17"/>
    </row>
    <row r="1368" spans="19:25">
      <c r="S1368" s="28"/>
      <c r="T1368" s="12"/>
      <c r="U1368" s="12"/>
      <c r="V1368" s="17"/>
      <c r="W1368" s="38"/>
      <c r="X1368" s="12"/>
      <c r="Y1368" s="17"/>
    </row>
    <row r="1369" spans="19:25">
      <c r="S1369" s="28"/>
      <c r="T1369" s="12"/>
      <c r="U1369" s="12"/>
      <c r="V1369" s="17"/>
      <c r="W1369" s="38"/>
      <c r="X1369" s="12"/>
      <c r="Y1369" s="17"/>
    </row>
    <row r="1370" spans="19:25">
      <c r="S1370" s="28"/>
      <c r="T1370" s="12"/>
      <c r="U1370" s="12"/>
      <c r="V1370" s="17"/>
      <c r="W1370" s="38"/>
      <c r="X1370" s="12"/>
      <c r="Y1370" s="17"/>
    </row>
    <row r="1371" spans="19:25">
      <c r="S1371" s="28"/>
      <c r="T1371" s="12"/>
      <c r="U1371" s="12"/>
      <c r="V1371" s="17"/>
      <c r="W1371" s="38"/>
      <c r="X1371" s="12"/>
      <c r="Y1371" s="17"/>
    </row>
    <row r="1372" spans="19:25">
      <c r="S1372" s="28"/>
      <c r="T1372" s="12"/>
      <c r="U1372" s="12"/>
      <c r="V1372" s="17"/>
      <c r="W1372" s="38"/>
      <c r="X1372" s="12"/>
      <c r="Y1372" s="17"/>
    </row>
    <row r="1373" spans="19:25">
      <c r="S1373" s="28"/>
      <c r="T1373" s="12"/>
      <c r="U1373" s="12"/>
      <c r="V1373" s="17"/>
      <c r="W1373" s="38"/>
      <c r="X1373" s="12"/>
      <c r="Y1373" s="17"/>
    </row>
    <row r="1374" spans="19:25">
      <c r="S1374" s="28"/>
      <c r="T1374" s="12"/>
      <c r="U1374" s="12"/>
      <c r="V1374" s="17"/>
      <c r="W1374" s="38"/>
      <c r="X1374" s="12"/>
      <c r="Y1374" s="17"/>
    </row>
    <row r="1375" spans="19:25">
      <c r="S1375" s="28"/>
      <c r="T1375" s="12"/>
      <c r="U1375" s="12"/>
      <c r="V1375" s="17"/>
      <c r="W1375" s="38"/>
      <c r="X1375" s="12"/>
      <c r="Y1375" s="17"/>
    </row>
    <row r="1376" spans="19:25">
      <c r="S1376" s="28"/>
      <c r="T1376" s="12"/>
      <c r="U1376" s="12"/>
      <c r="V1376" s="17"/>
      <c r="W1376" s="38"/>
      <c r="X1376" s="12"/>
      <c r="Y1376" s="17"/>
    </row>
    <row r="1377" spans="19:25">
      <c r="S1377" s="28"/>
      <c r="T1377" s="12"/>
      <c r="U1377" s="12"/>
      <c r="V1377" s="17"/>
      <c r="W1377" s="38"/>
      <c r="X1377" s="12"/>
      <c r="Y1377" s="17"/>
    </row>
    <row r="1378" spans="19:25">
      <c r="S1378" s="28"/>
      <c r="T1378" s="12"/>
      <c r="U1378" s="12"/>
      <c r="V1378" s="17"/>
      <c r="W1378" s="38"/>
      <c r="X1378" s="12"/>
      <c r="Y1378" s="17"/>
    </row>
    <row r="1379" spans="19:25">
      <c r="S1379" s="28"/>
      <c r="T1379" s="12"/>
      <c r="U1379" s="12"/>
      <c r="V1379" s="17"/>
      <c r="W1379" s="38"/>
      <c r="X1379" s="12"/>
      <c r="Y1379" s="17"/>
    </row>
    <row r="1380" spans="19:25">
      <c r="S1380" s="28"/>
      <c r="T1380" s="12"/>
      <c r="U1380" s="12"/>
      <c r="V1380" s="17"/>
      <c r="W1380" s="38"/>
      <c r="X1380" s="12"/>
      <c r="Y1380" s="17"/>
    </row>
    <row r="1381" spans="19:25">
      <c r="S1381" s="28"/>
      <c r="T1381" s="12"/>
      <c r="U1381" s="12"/>
      <c r="V1381" s="17"/>
      <c r="W1381" s="38"/>
      <c r="X1381" s="12"/>
      <c r="Y1381" s="17"/>
    </row>
    <row r="1382" spans="19:25">
      <c r="S1382" s="28"/>
      <c r="T1382" s="12"/>
      <c r="U1382" s="12"/>
      <c r="V1382" s="17"/>
      <c r="W1382" s="38"/>
      <c r="X1382" s="12"/>
      <c r="Y1382" s="17"/>
    </row>
    <row r="1383" spans="19:25">
      <c r="S1383" s="28"/>
      <c r="T1383" s="12"/>
      <c r="U1383" s="12"/>
      <c r="V1383" s="17"/>
      <c r="W1383" s="38"/>
      <c r="X1383" s="12"/>
      <c r="Y1383" s="17"/>
    </row>
    <row r="1384" spans="19:25">
      <c r="S1384" s="28"/>
      <c r="T1384" s="12"/>
      <c r="U1384" s="12"/>
      <c r="V1384" s="17"/>
      <c r="W1384" s="38"/>
      <c r="X1384" s="12"/>
      <c r="Y1384" s="17"/>
    </row>
    <row r="1385" spans="19:25">
      <c r="S1385" s="28"/>
      <c r="T1385" s="12"/>
      <c r="U1385" s="12"/>
      <c r="V1385" s="17"/>
      <c r="W1385" s="38"/>
      <c r="X1385" s="12"/>
      <c r="Y1385" s="17"/>
    </row>
    <row r="1386" spans="19:25">
      <c r="S1386" s="28"/>
      <c r="T1386" s="12"/>
      <c r="U1386" s="12"/>
      <c r="V1386" s="17"/>
      <c r="W1386" s="38"/>
      <c r="X1386" s="12"/>
      <c r="Y1386" s="17"/>
    </row>
    <row r="1387" spans="19:25">
      <c r="S1387" s="28"/>
      <c r="T1387" s="12"/>
      <c r="U1387" s="12"/>
      <c r="V1387" s="17"/>
      <c r="W1387" s="38"/>
      <c r="X1387" s="12"/>
      <c r="Y1387" s="17"/>
    </row>
    <row r="1388" spans="19:25">
      <c r="S1388" s="28"/>
      <c r="T1388" s="12"/>
      <c r="U1388" s="12"/>
      <c r="V1388" s="17"/>
      <c r="W1388" s="38"/>
      <c r="X1388" s="12"/>
      <c r="Y1388" s="17"/>
    </row>
    <row r="1389" spans="19:25">
      <c r="S1389" s="28"/>
      <c r="T1389" s="12"/>
      <c r="U1389" s="12"/>
      <c r="V1389" s="17"/>
      <c r="W1389" s="38"/>
      <c r="X1389" s="12"/>
      <c r="Y1389" s="17"/>
    </row>
    <row r="1390" spans="19:25">
      <c r="S1390" s="28"/>
      <c r="T1390" s="12"/>
      <c r="U1390" s="12"/>
      <c r="V1390" s="17"/>
      <c r="W1390" s="38"/>
      <c r="X1390" s="12"/>
      <c r="Y1390" s="17"/>
    </row>
    <row r="1391" spans="19:25">
      <c r="S1391" s="28"/>
      <c r="T1391" s="12"/>
      <c r="U1391" s="12"/>
      <c r="V1391" s="17"/>
      <c r="W1391" s="38"/>
      <c r="X1391" s="12"/>
      <c r="Y1391" s="17"/>
    </row>
    <row r="1392" spans="19:25">
      <c r="S1392" s="28"/>
      <c r="T1392" s="12"/>
      <c r="U1392" s="12"/>
      <c r="V1392" s="17"/>
      <c r="W1392" s="38"/>
      <c r="X1392" s="12"/>
      <c r="Y1392" s="17"/>
    </row>
    <row r="1393" spans="19:25">
      <c r="S1393" s="28"/>
      <c r="T1393" s="12"/>
      <c r="U1393" s="12"/>
      <c r="V1393" s="17"/>
      <c r="W1393" s="38"/>
      <c r="X1393" s="12"/>
      <c r="Y1393" s="17"/>
    </row>
    <row r="1394" spans="19:25">
      <c r="S1394" s="28"/>
      <c r="T1394" s="12"/>
      <c r="U1394" s="12"/>
      <c r="V1394" s="17"/>
      <c r="W1394" s="38"/>
      <c r="X1394" s="12"/>
      <c r="Y1394" s="17"/>
    </row>
    <row r="1395" spans="19:25">
      <c r="S1395" s="28"/>
      <c r="T1395" s="12"/>
      <c r="U1395" s="12"/>
      <c r="V1395" s="17"/>
      <c r="W1395" s="38"/>
      <c r="X1395" s="12"/>
      <c r="Y1395" s="17"/>
    </row>
    <row r="1396" spans="19:25">
      <c r="S1396" s="28"/>
      <c r="T1396" s="12"/>
      <c r="U1396" s="12"/>
      <c r="V1396" s="17"/>
      <c r="W1396" s="38"/>
      <c r="X1396" s="12"/>
      <c r="Y1396" s="17"/>
    </row>
    <row r="1397" spans="19:25">
      <c r="S1397" s="28"/>
      <c r="T1397" s="12"/>
      <c r="U1397" s="12"/>
      <c r="V1397" s="17"/>
      <c r="W1397" s="38"/>
      <c r="X1397" s="12"/>
      <c r="Y1397" s="17"/>
    </row>
    <row r="1398" spans="19:25">
      <c r="S1398" s="28"/>
      <c r="T1398" s="12"/>
      <c r="U1398" s="12"/>
      <c r="V1398" s="17"/>
      <c r="W1398" s="38"/>
      <c r="X1398" s="12"/>
      <c r="Y1398" s="17"/>
    </row>
    <row r="1399" spans="19:25">
      <c r="S1399" s="28"/>
      <c r="T1399" s="12"/>
      <c r="U1399" s="12"/>
      <c r="V1399" s="17"/>
      <c r="W1399" s="38"/>
      <c r="X1399" s="12"/>
      <c r="Y1399" s="17"/>
    </row>
    <row r="1400" spans="19:25">
      <c r="S1400" s="28"/>
      <c r="T1400" s="12"/>
      <c r="U1400" s="12"/>
      <c r="V1400" s="17"/>
      <c r="W1400" s="38"/>
      <c r="X1400" s="12"/>
      <c r="Y1400" s="17"/>
    </row>
    <row r="1401" spans="19:25">
      <c r="S1401" s="28"/>
      <c r="T1401" s="12"/>
      <c r="U1401" s="12"/>
      <c r="V1401" s="17"/>
      <c r="W1401" s="38"/>
      <c r="X1401" s="12"/>
      <c r="Y1401" s="17"/>
    </row>
    <row r="1402" spans="19:25">
      <c r="S1402" s="28"/>
      <c r="T1402" s="12"/>
      <c r="U1402" s="12"/>
      <c r="V1402" s="17"/>
      <c r="W1402" s="38"/>
      <c r="X1402" s="12"/>
      <c r="Y1402" s="17"/>
    </row>
    <row r="1403" spans="19:25">
      <c r="S1403" s="28"/>
      <c r="T1403" s="12"/>
      <c r="U1403" s="12"/>
      <c r="V1403" s="17"/>
      <c r="W1403" s="38"/>
      <c r="X1403" s="12"/>
      <c r="Y1403" s="17"/>
    </row>
    <row r="1404" spans="19:25">
      <c r="S1404" s="28"/>
      <c r="T1404" s="12"/>
      <c r="U1404" s="12"/>
      <c r="V1404" s="17"/>
      <c r="W1404" s="38"/>
      <c r="X1404" s="12"/>
      <c r="Y1404" s="17"/>
    </row>
    <row r="1405" spans="19:25">
      <c r="S1405" s="28"/>
      <c r="T1405" s="12"/>
      <c r="U1405" s="12"/>
      <c r="V1405" s="17"/>
      <c r="W1405" s="38"/>
      <c r="X1405" s="12"/>
      <c r="Y1405" s="17"/>
    </row>
    <row r="1406" spans="19:25">
      <c r="S1406" s="28"/>
      <c r="T1406" s="12"/>
      <c r="U1406" s="12"/>
      <c r="V1406" s="17"/>
      <c r="W1406" s="38"/>
      <c r="X1406" s="12"/>
      <c r="Y1406" s="17"/>
    </row>
    <row r="1407" spans="19:25">
      <c r="S1407" s="28"/>
      <c r="T1407" s="12"/>
      <c r="U1407" s="12"/>
      <c r="V1407" s="17"/>
      <c r="W1407" s="38"/>
      <c r="X1407" s="12"/>
      <c r="Y1407" s="17"/>
    </row>
    <row r="1408" spans="19:25">
      <c r="S1408" s="28"/>
      <c r="T1408" s="12"/>
      <c r="U1408" s="12"/>
      <c r="V1408" s="17"/>
      <c r="W1408" s="38"/>
      <c r="X1408" s="12"/>
      <c r="Y1408" s="17"/>
    </row>
    <row r="1409" spans="19:25">
      <c r="S1409" s="28"/>
      <c r="T1409" s="12"/>
      <c r="U1409" s="12"/>
      <c r="V1409" s="17"/>
      <c r="W1409" s="38"/>
      <c r="X1409" s="12"/>
      <c r="Y1409" s="17"/>
    </row>
    <row r="1410" spans="19:25">
      <c r="S1410" s="28"/>
      <c r="T1410" s="12"/>
      <c r="U1410" s="12"/>
      <c r="V1410" s="17"/>
      <c r="W1410" s="38"/>
      <c r="X1410" s="12"/>
      <c r="Y1410" s="17"/>
    </row>
    <row r="1411" spans="19:25">
      <c r="S1411" s="28"/>
      <c r="T1411" s="12"/>
      <c r="U1411" s="12"/>
      <c r="V1411" s="17"/>
      <c r="W1411" s="38"/>
      <c r="X1411" s="12"/>
      <c r="Y1411" s="17"/>
    </row>
    <row r="1412" spans="19:25">
      <c r="S1412" s="28"/>
      <c r="T1412" s="12"/>
      <c r="U1412" s="12"/>
      <c r="V1412" s="17"/>
      <c r="W1412" s="38"/>
      <c r="X1412" s="12"/>
      <c r="Y1412" s="17"/>
    </row>
    <row r="1413" spans="19:25">
      <c r="S1413" s="28"/>
      <c r="T1413" s="12"/>
      <c r="U1413" s="12"/>
      <c r="V1413" s="17"/>
      <c r="W1413" s="38"/>
      <c r="X1413" s="12"/>
      <c r="Y1413" s="17"/>
    </row>
    <row r="1414" spans="19:25">
      <c r="S1414" s="28"/>
      <c r="T1414" s="12"/>
      <c r="U1414" s="12"/>
      <c r="V1414" s="17"/>
      <c r="W1414" s="38"/>
      <c r="X1414" s="12"/>
      <c r="Y1414" s="17"/>
    </row>
    <row r="1415" spans="19:25">
      <c r="S1415" s="28"/>
      <c r="T1415" s="12"/>
      <c r="U1415" s="12"/>
      <c r="V1415" s="17"/>
      <c r="W1415" s="38"/>
      <c r="X1415" s="12"/>
      <c r="Y1415" s="17"/>
    </row>
    <row r="1416" spans="19:25">
      <c r="S1416" s="28"/>
      <c r="T1416" s="12"/>
      <c r="U1416" s="12"/>
      <c r="V1416" s="17"/>
      <c r="W1416" s="38"/>
      <c r="X1416" s="12"/>
      <c r="Y1416" s="17"/>
    </row>
    <row r="1417" spans="19:25">
      <c r="S1417" s="28"/>
      <c r="T1417" s="12"/>
      <c r="U1417" s="12"/>
      <c r="V1417" s="17"/>
      <c r="W1417" s="38"/>
      <c r="X1417" s="12"/>
      <c r="Y1417" s="17"/>
    </row>
    <row r="1418" spans="19:25">
      <c r="S1418" s="28"/>
      <c r="T1418" s="12"/>
      <c r="U1418" s="12"/>
      <c r="V1418" s="17"/>
      <c r="W1418" s="38"/>
      <c r="X1418" s="12"/>
      <c r="Y1418" s="17"/>
    </row>
    <row r="1419" spans="19:25">
      <c r="S1419" s="28"/>
      <c r="T1419" s="12"/>
      <c r="U1419" s="12"/>
      <c r="V1419" s="17"/>
      <c r="W1419" s="38"/>
      <c r="X1419" s="12"/>
      <c r="Y1419" s="17"/>
    </row>
    <row r="1420" spans="19:25">
      <c r="S1420" s="28"/>
      <c r="T1420" s="12"/>
      <c r="U1420" s="12"/>
      <c r="V1420" s="17"/>
      <c r="W1420" s="38"/>
      <c r="X1420" s="12"/>
      <c r="Y1420" s="17"/>
    </row>
    <row r="1421" spans="19:25">
      <c r="S1421" s="28"/>
      <c r="T1421" s="12"/>
      <c r="U1421" s="12"/>
      <c r="V1421" s="17"/>
      <c r="W1421" s="38"/>
      <c r="X1421" s="12"/>
      <c r="Y1421" s="17"/>
    </row>
    <row r="1422" spans="19:25">
      <c r="S1422" s="28"/>
      <c r="T1422" s="12"/>
      <c r="U1422" s="12"/>
      <c r="V1422" s="17"/>
      <c r="W1422" s="38"/>
      <c r="X1422" s="12"/>
      <c r="Y1422" s="17"/>
    </row>
    <row r="1423" spans="19:25">
      <c r="S1423" s="28"/>
      <c r="T1423" s="12"/>
      <c r="U1423" s="12"/>
      <c r="V1423" s="17"/>
      <c r="W1423" s="38"/>
      <c r="X1423" s="12"/>
      <c r="Y1423" s="17"/>
    </row>
    <row r="1424" spans="19:25">
      <c r="S1424" s="28"/>
      <c r="T1424" s="12"/>
      <c r="U1424" s="12"/>
      <c r="V1424" s="17"/>
      <c r="W1424" s="38"/>
      <c r="X1424" s="12"/>
      <c r="Y1424" s="17"/>
    </row>
    <row r="1425" spans="19:25">
      <c r="S1425" s="28"/>
      <c r="T1425" s="12"/>
      <c r="U1425" s="12"/>
      <c r="V1425" s="17"/>
      <c r="W1425" s="38"/>
      <c r="X1425" s="12"/>
      <c r="Y1425" s="17"/>
    </row>
    <row r="1426" spans="19:25">
      <c r="S1426" s="28"/>
      <c r="T1426" s="12"/>
      <c r="U1426" s="12"/>
      <c r="V1426" s="17"/>
      <c r="W1426" s="38"/>
      <c r="X1426" s="12"/>
      <c r="Y1426" s="17"/>
    </row>
    <row r="1427" spans="19:25">
      <c r="S1427" s="28"/>
      <c r="T1427" s="12"/>
      <c r="U1427" s="12"/>
      <c r="V1427" s="17"/>
      <c r="W1427" s="38"/>
      <c r="X1427" s="12"/>
      <c r="Y1427" s="17"/>
    </row>
    <row r="1428" spans="19:25">
      <c r="S1428" s="28"/>
      <c r="T1428" s="12"/>
      <c r="U1428" s="12"/>
      <c r="V1428" s="17"/>
      <c r="W1428" s="38"/>
      <c r="X1428" s="12"/>
      <c r="Y1428" s="17"/>
    </row>
    <row r="1429" spans="19:25">
      <c r="S1429" s="28"/>
      <c r="T1429" s="12"/>
      <c r="U1429" s="12"/>
      <c r="V1429" s="17"/>
      <c r="W1429" s="38"/>
      <c r="X1429" s="12"/>
      <c r="Y1429" s="17"/>
    </row>
    <row r="1430" spans="19:25">
      <c r="S1430" s="28"/>
      <c r="T1430" s="12"/>
      <c r="U1430" s="12"/>
      <c r="V1430" s="17"/>
      <c r="W1430" s="38"/>
      <c r="X1430" s="12"/>
      <c r="Y1430" s="17"/>
    </row>
    <row r="1431" spans="19:25">
      <c r="S1431" s="28"/>
      <c r="T1431" s="12"/>
      <c r="U1431" s="12"/>
      <c r="V1431" s="17"/>
      <c r="W1431" s="38"/>
      <c r="X1431" s="12"/>
      <c r="Y1431" s="17"/>
    </row>
    <row r="1432" spans="19:25">
      <c r="S1432" s="28"/>
      <c r="T1432" s="12"/>
      <c r="U1432" s="12"/>
      <c r="V1432" s="17"/>
      <c r="W1432" s="38"/>
      <c r="X1432" s="12"/>
      <c r="Y1432" s="17"/>
    </row>
    <row r="1433" spans="19:25">
      <c r="S1433" s="28"/>
      <c r="T1433" s="12"/>
      <c r="U1433" s="12"/>
      <c r="V1433" s="17"/>
      <c r="W1433" s="38"/>
      <c r="X1433" s="12"/>
      <c r="Y1433" s="17"/>
    </row>
    <row r="1434" spans="19:25">
      <c r="S1434" s="28"/>
      <c r="T1434" s="12"/>
      <c r="U1434" s="12"/>
      <c r="V1434" s="17"/>
      <c r="W1434" s="38"/>
      <c r="X1434" s="12"/>
      <c r="Y1434" s="17"/>
    </row>
    <row r="1435" spans="19:25">
      <c r="S1435" s="28"/>
      <c r="T1435" s="12"/>
      <c r="U1435" s="12"/>
      <c r="V1435" s="17"/>
      <c r="W1435" s="38"/>
      <c r="X1435" s="12"/>
      <c r="Y1435" s="17"/>
    </row>
    <row r="1436" spans="19:25">
      <c r="S1436" s="28"/>
      <c r="T1436" s="12"/>
      <c r="U1436" s="12"/>
      <c r="V1436" s="17"/>
      <c r="W1436" s="38"/>
      <c r="X1436" s="12"/>
      <c r="Y1436" s="17"/>
    </row>
    <row r="1437" spans="19:25">
      <c r="S1437" s="28"/>
      <c r="T1437" s="12"/>
      <c r="U1437" s="12"/>
      <c r="V1437" s="17"/>
      <c r="W1437" s="38"/>
      <c r="X1437" s="12"/>
      <c r="Y1437" s="17"/>
    </row>
    <row r="1438" spans="19:25">
      <c r="S1438" s="28"/>
      <c r="T1438" s="12"/>
      <c r="U1438" s="12"/>
      <c r="V1438" s="17"/>
      <c r="W1438" s="38"/>
      <c r="X1438" s="12"/>
      <c r="Y1438" s="17"/>
    </row>
    <row r="1439" spans="19:25">
      <c r="S1439" s="28"/>
      <c r="T1439" s="12"/>
      <c r="U1439" s="12"/>
      <c r="V1439" s="17"/>
      <c r="W1439" s="38"/>
      <c r="X1439" s="12"/>
      <c r="Y1439" s="17"/>
    </row>
    <row r="1440" spans="19:25">
      <c r="S1440" s="28"/>
      <c r="T1440" s="12"/>
      <c r="U1440" s="12"/>
      <c r="V1440" s="17"/>
      <c r="W1440" s="38"/>
      <c r="X1440" s="12"/>
      <c r="Y1440" s="17"/>
    </row>
    <row r="1441" spans="19:25">
      <c r="S1441" s="28"/>
      <c r="T1441" s="12"/>
      <c r="U1441" s="12"/>
      <c r="V1441" s="17"/>
      <c r="W1441" s="38"/>
      <c r="X1441" s="12"/>
      <c r="Y1441" s="17"/>
    </row>
    <row r="1442" spans="19:25">
      <c r="S1442" s="28"/>
      <c r="T1442" s="12"/>
      <c r="U1442" s="12"/>
      <c r="V1442" s="17"/>
      <c r="W1442" s="38"/>
      <c r="X1442" s="12"/>
      <c r="Y1442" s="17"/>
    </row>
    <row r="1443" spans="19:25">
      <c r="S1443" s="28"/>
      <c r="T1443" s="12"/>
      <c r="U1443" s="12"/>
      <c r="V1443" s="17"/>
      <c r="W1443" s="38"/>
      <c r="X1443" s="12"/>
      <c r="Y1443" s="17"/>
    </row>
    <row r="1444" spans="19:25">
      <c r="S1444" s="28"/>
      <c r="T1444" s="12"/>
      <c r="U1444" s="12"/>
      <c r="V1444" s="17"/>
      <c r="W1444" s="38"/>
      <c r="X1444" s="12"/>
      <c r="Y1444" s="17"/>
    </row>
    <row r="1445" spans="19:25">
      <c r="S1445" s="28"/>
      <c r="T1445" s="12"/>
      <c r="U1445" s="12"/>
      <c r="V1445" s="17"/>
      <c r="W1445" s="38"/>
      <c r="X1445" s="12"/>
      <c r="Y1445" s="17"/>
    </row>
    <row r="1446" spans="19:25">
      <c r="S1446" s="28"/>
      <c r="T1446" s="12"/>
      <c r="U1446" s="12"/>
      <c r="V1446" s="17"/>
      <c r="W1446" s="38"/>
      <c r="X1446" s="12"/>
      <c r="Y1446" s="17"/>
    </row>
    <row r="1447" spans="19:25">
      <c r="S1447" s="28"/>
      <c r="T1447" s="12"/>
      <c r="U1447" s="12"/>
      <c r="V1447" s="17"/>
      <c r="W1447" s="38"/>
      <c r="X1447" s="12"/>
      <c r="Y1447" s="17"/>
    </row>
    <row r="1448" spans="19:25">
      <c r="S1448" s="28"/>
      <c r="T1448" s="12"/>
      <c r="U1448" s="12"/>
      <c r="V1448" s="17"/>
      <c r="W1448" s="38"/>
      <c r="X1448" s="12"/>
      <c r="Y1448" s="17"/>
    </row>
    <row r="1449" spans="19:25">
      <c r="S1449" s="28"/>
      <c r="T1449" s="12"/>
      <c r="U1449" s="12"/>
      <c r="V1449" s="17"/>
      <c r="W1449" s="38"/>
      <c r="X1449" s="12"/>
      <c r="Y1449" s="17"/>
    </row>
    <row r="1450" spans="19:25">
      <c r="S1450" s="28"/>
      <c r="T1450" s="12"/>
      <c r="U1450" s="12"/>
      <c r="V1450" s="17"/>
      <c r="W1450" s="38"/>
      <c r="X1450" s="12"/>
      <c r="Y1450" s="17"/>
    </row>
    <row r="1451" spans="19:25">
      <c r="S1451" s="28"/>
      <c r="T1451" s="12"/>
      <c r="U1451" s="12"/>
      <c r="V1451" s="17"/>
      <c r="W1451" s="38"/>
      <c r="X1451" s="12"/>
      <c r="Y1451" s="17"/>
    </row>
    <row r="1452" spans="19:25">
      <c r="S1452" s="28"/>
      <c r="T1452" s="12"/>
      <c r="U1452" s="12"/>
      <c r="V1452" s="17"/>
      <c r="W1452" s="38"/>
      <c r="X1452" s="12"/>
      <c r="Y1452" s="17"/>
    </row>
    <row r="1453" spans="19:25">
      <c r="S1453" s="28"/>
      <c r="T1453" s="12"/>
      <c r="U1453" s="12"/>
      <c r="V1453" s="17"/>
      <c r="W1453" s="38"/>
      <c r="X1453" s="12"/>
      <c r="Y1453" s="17"/>
    </row>
    <row r="1454" spans="19:25">
      <c r="S1454" s="28"/>
      <c r="T1454" s="12"/>
      <c r="U1454" s="12"/>
      <c r="V1454" s="17"/>
      <c r="W1454" s="38"/>
      <c r="X1454" s="12"/>
      <c r="Y1454" s="17"/>
    </row>
    <row r="1455" spans="19:25">
      <c r="S1455" s="28"/>
      <c r="T1455" s="12"/>
      <c r="U1455" s="12"/>
      <c r="V1455" s="17"/>
      <c r="W1455" s="38"/>
      <c r="X1455" s="12"/>
      <c r="Y1455" s="17"/>
    </row>
    <row r="1456" spans="19:25">
      <c r="S1456" s="28"/>
      <c r="T1456" s="12"/>
      <c r="U1456" s="12"/>
      <c r="V1456" s="17"/>
      <c r="W1456" s="38"/>
      <c r="X1456" s="12"/>
      <c r="Y1456" s="17"/>
    </row>
    <row r="1457" spans="19:25">
      <c r="S1457" s="28"/>
      <c r="T1457" s="12"/>
      <c r="U1457" s="12"/>
      <c r="V1457" s="17"/>
      <c r="W1457" s="38"/>
      <c r="X1457" s="12"/>
      <c r="Y1457" s="17"/>
    </row>
    <row r="1458" spans="19:25">
      <c r="S1458" s="28"/>
      <c r="T1458" s="12"/>
      <c r="U1458" s="12"/>
      <c r="V1458" s="17"/>
      <c r="W1458" s="38"/>
      <c r="X1458" s="12"/>
      <c r="Y1458" s="17"/>
    </row>
    <row r="1459" spans="19:25">
      <c r="S1459" s="28"/>
      <c r="T1459" s="12"/>
      <c r="U1459" s="12"/>
      <c r="V1459" s="17"/>
      <c r="W1459" s="38"/>
      <c r="X1459" s="12"/>
      <c r="Y1459" s="17"/>
    </row>
    <row r="1460" spans="19:25">
      <c r="S1460" s="28"/>
      <c r="T1460" s="12"/>
      <c r="U1460" s="12"/>
      <c r="V1460" s="17"/>
      <c r="W1460" s="38"/>
      <c r="X1460" s="12"/>
      <c r="Y1460" s="17"/>
    </row>
    <row r="1461" spans="19:25">
      <c r="S1461" s="28"/>
      <c r="T1461" s="12"/>
      <c r="U1461" s="12"/>
      <c r="V1461" s="17"/>
      <c r="W1461" s="38"/>
      <c r="X1461" s="12"/>
      <c r="Y1461" s="17"/>
    </row>
    <row r="1462" spans="19:25">
      <c r="S1462" s="28"/>
      <c r="T1462" s="12"/>
      <c r="U1462" s="12"/>
      <c r="V1462" s="17"/>
      <c r="W1462" s="38"/>
      <c r="X1462" s="12"/>
      <c r="Y1462" s="17"/>
    </row>
    <row r="1463" spans="19:25">
      <c r="S1463" s="28"/>
      <c r="T1463" s="12"/>
      <c r="U1463" s="12"/>
      <c r="V1463" s="17"/>
      <c r="W1463" s="38"/>
      <c r="X1463" s="12"/>
      <c r="Y1463" s="17"/>
    </row>
    <row r="1464" spans="19:25">
      <c r="S1464" s="28"/>
      <c r="T1464" s="12"/>
      <c r="U1464" s="12"/>
      <c r="V1464" s="17"/>
      <c r="W1464" s="38"/>
      <c r="X1464" s="12"/>
      <c r="Y1464" s="17"/>
    </row>
    <row r="1465" spans="19:25">
      <c r="S1465" s="28"/>
      <c r="T1465" s="12"/>
      <c r="U1465" s="12"/>
      <c r="V1465" s="17"/>
      <c r="W1465" s="38"/>
      <c r="X1465" s="12"/>
      <c r="Y1465" s="17"/>
    </row>
    <row r="1466" spans="19:25">
      <c r="S1466" s="28"/>
      <c r="T1466" s="12"/>
      <c r="U1466" s="12"/>
      <c r="V1466" s="17"/>
      <c r="W1466" s="38"/>
      <c r="X1466" s="12"/>
      <c r="Y1466" s="17"/>
    </row>
    <row r="1467" spans="19:25">
      <c r="S1467" s="28"/>
      <c r="T1467" s="12"/>
      <c r="U1467" s="12"/>
      <c r="V1467" s="17"/>
      <c r="W1467" s="38"/>
      <c r="X1467" s="12"/>
      <c r="Y1467" s="17"/>
    </row>
    <row r="1468" spans="19:25">
      <c r="S1468" s="28"/>
      <c r="T1468" s="12"/>
      <c r="U1468" s="12"/>
      <c r="V1468" s="17"/>
      <c r="W1468" s="38"/>
      <c r="X1468" s="12"/>
      <c r="Y1468" s="17"/>
    </row>
    <row r="1469" spans="19:25">
      <c r="S1469" s="28"/>
      <c r="T1469" s="12"/>
      <c r="U1469" s="12"/>
      <c r="V1469" s="17"/>
      <c r="W1469" s="38"/>
      <c r="X1469" s="12"/>
      <c r="Y1469" s="17"/>
    </row>
    <row r="1470" spans="19:25">
      <c r="S1470" s="28"/>
      <c r="T1470" s="12"/>
      <c r="U1470" s="12"/>
      <c r="V1470" s="17"/>
      <c r="W1470" s="38"/>
      <c r="X1470" s="12"/>
      <c r="Y1470" s="17"/>
    </row>
    <row r="1471" spans="19:25">
      <c r="S1471" s="28"/>
      <c r="T1471" s="12"/>
      <c r="U1471" s="12"/>
      <c r="V1471" s="17"/>
      <c r="W1471" s="38"/>
      <c r="X1471" s="12"/>
      <c r="Y1471" s="17"/>
    </row>
    <row r="1472" spans="19:25">
      <c r="S1472" s="17"/>
      <c r="T1472" s="12"/>
      <c r="U1472" s="12"/>
      <c r="V1472" s="17"/>
      <c r="W1472" s="38"/>
      <c r="X1472" s="12"/>
      <c r="Y1472" s="17"/>
    </row>
    <row r="1473" spans="19:25">
      <c r="S1473" s="17"/>
      <c r="T1473" s="12"/>
      <c r="U1473" s="12"/>
      <c r="V1473" s="17"/>
      <c r="W1473" s="38"/>
      <c r="X1473" s="12"/>
      <c r="Y1473" s="17"/>
    </row>
    <row r="1474" spans="19:25">
      <c r="S1474" s="17"/>
      <c r="T1474" s="12"/>
      <c r="U1474" s="12"/>
      <c r="V1474" s="17"/>
      <c r="W1474" s="38"/>
      <c r="X1474" s="12"/>
      <c r="Y1474" s="17"/>
    </row>
    <row r="1475" spans="19:25">
      <c r="S1475" s="17"/>
      <c r="T1475" s="12"/>
      <c r="U1475" s="12"/>
      <c r="V1475" s="17"/>
      <c r="W1475" s="38"/>
      <c r="X1475" s="12"/>
      <c r="Y1475" s="17"/>
    </row>
    <row r="1476" spans="19:25">
      <c r="S1476" s="17"/>
      <c r="T1476" s="12"/>
      <c r="U1476" s="12"/>
      <c r="V1476" s="17"/>
      <c r="W1476" s="38"/>
      <c r="X1476" s="12"/>
      <c r="Y1476" s="17"/>
    </row>
    <row r="1477" spans="19:25">
      <c r="S1477" s="17"/>
      <c r="T1477" s="12"/>
      <c r="U1477" s="12"/>
      <c r="V1477" s="17"/>
      <c r="W1477" s="38"/>
      <c r="X1477" s="12"/>
      <c r="Y1477" s="17"/>
    </row>
    <row r="1478" spans="19:25">
      <c r="S1478" s="17"/>
      <c r="T1478" s="12"/>
      <c r="U1478" s="12"/>
      <c r="V1478" s="17"/>
      <c r="W1478" s="38"/>
      <c r="X1478" s="12"/>
      <c r="Y1478" s="17"/>
    </row>
    <row r="1479" spans="19:25">
      <c r="S1479" s="17"/>
      <c r="T1479" s="12"/>
      <c r="U1479" s="12"/>
      <c r="V1479" s="17"/>
      <c r="W1479" s="38"/>
      <c r="X1479" s="12"/>
      <c r="Y1479" s="17"/>
    </row>
    <row r="1480" spans="19:25">
      <c r="S1480" s="17"/>
      <c r="T1480" s="12"/>
      <c r="U1480" s="12"/>
      <c r="V1480" s="17"/>
      <c r="W1480" s="38"/>
      <c r="X1480" s="12"/>
      <c r="Y1480" s="17"/>
    </row>
    <row r="1481" spans="19:25">
      <c r="S1481" s="17"/>
      <c r="T1481" s="12"/>
      <c r="U1481" s="12"/>
      <c r="V1481" s="17"/>
      <c r="W1481" s="38"/>
      <c r="X1481" s="12"/>
      <c r="Y1481" s="17"/>
    </row>
    <row r="1482" spans="19:25">
      <c r="S1482" s="17"/>
      <c r="T1482" s="12"/>
      <c r="U1482" s="12"/>
      <c r="V1482" s="17"/>
      <c r="W1482" s="38"/>
      <c r="X1482" s="12"/>
      <c r="Y1482" s="17"/>
    </row>
    <row r="1483" spans="19:25">
      <c r="S1483" s="17"/>
      <c r="T1483" s="12"/>
      <c r="U1483" s="12"/>
      <c r="V1483" s="17"/>
      <c r="W1483" s="38"/>
      <c r="X1483" s="12"/>
      <c r="Y1483" s="17"/>
    </row>
    <row r="1484" spans="19:25">
      <c r="S1484" s="17"/>
      <c r="T1484" s="12"/>
      <c r="U1484" s="12"/>
      <c r="V1484" s="17"/>
      <c r="W1484" s="38"/>
      <c r="X1484" s="12"/>
      <c r="Y1484" s="17"/>
    </row>
    <row r="1485" spans="19:25">
      <c r="S1485" s="17"/>
      <c r="T1485" s="12"/>
      <c r="U1485" s="12"/>
      <c r="V1485" s="17"/>
      <c r="W1485" s="38"/>
      <c r="X1485" s="12"/>
      <c r="Y1485" s="17"/>
    </row>
    <row r="1486" spans="19:25">
      <c r="S1486" s="17"/>
      <c r="T1486" s="12"/>
      <c r="U1486" s="12"/>
      <c r="V1486" s="17"/>
      <c r="W1486" s="38"/>
      <c r="X1486" s="12"/>
      <c r="Y1486" s="17"/>
    </row>
    <row r="1487" spans="19:25">
      <c r="S1487" s="17"/>
      <c r="T1487" s="12"/>
      <c r="U1487" s="12"/>
      <c r="V1487" s="17"/>
      <c r="W1487" s="38"/>
      <c r="X1487" s="12"/>
      <c r="Y1487" s="17"/>
    </row>
    <row r="1488" spans="19:25">
      <c r="S1488" s="17"/>
      <c r="T1488" s="12"/>
      <c r="U1488" s="12"/>
      <c r="V1488" s="17"/>
      <c r="W1488" s="38"/>
      <c r="X1488" s="12"/>
      <c r="Y1488" s="17"/>
    </row>
    <row r="1489" spans="19:25">
      <c r="S1489" s="17"/>
      <c r="T1489" s="12"/>
      <c r="U1489" s="12"/>
      <c r="V1489" s="17"/>
      <c r="W1489" s="38"/>
      <c r="X1489" s="12"/>
      <c r="Y1489" s="17"/>
    </row>
    <row r="1490" spans="19:25">
      <c r="S1490" s="17"/>
      <c r="T1490" s="12"/>
      <c r="U1490" s="12"/>
      <c r="V1490" s="17"/>
      <c r="W1490" s="38"/>
      <c r="X1490" s="12"/>
      <c r="Y1490" s="17"/>
    </row>
    <row r="1491" spans="19:25">
      <c r="S1491" s="17"/>
      <c r="T1491" s="12"/>
      <c r="U1491" s="12"/>
      <c r="V1491" s="17"/>
      <c r="W1491" s="38"/>
      <c r="X1491" s="12"/>
      <c r="Y1491" s="17"/>
    </row>
    <row r="1492" spans="19:25">
      <c r="S1492" s="17"/>
      <c r="T1492" s="12"/>
      <c r="U1492" s="12"/>
      <c r="V1492" s="17"/>
      <c r="W1492" s="38"/>
      <c r="X1492" s="12"/>
      <c r="Y1492" s="17"/>
    </row>
    <row r="1493" spans="19:25">
      <c r="S1493" s="17"/>
      <c r="T1493" s="12"/>
      <c r="U1493" s="12"/>
      <c r="V1493" s="17"/>
      <c r="W1493" s="38"/>
      <c r="X1493" s="12"/>
      <c r="Y1493" s="17"/>
    </row>
    <row r="1494" spans="19:25">
      <c r="S1494" s="17"/>
      <c r="T1494" s="12"/>
      <c r="U1494" s="12"/>
      <c r="V1494" s="17"/>
      <c r="W1494" s="38"/>
      <c r="X1494" s="12"/>
      <c r="Y1494" s="17"/>
    </row>
    <row r="1495" spans="19:25">
      <c r="S1495" s="17"/>
      <c r="T1495" s="12"/>
      <c r="U1495" s="12"/>
      <c r="V1495" s="17"/>
      <c r="W1495" s="38"/>
      <c r="X1495" s="12"/>
      <c r="Y1495" s="17"/>
    </row>
    <row r="1496" spans="19:25">
      <c r="S1496" s="17"/>
      <c r="T1496" s="12"/>
      <c r="U1496" s="12"/>
      <c r="V1496" s="17"/>
      <c r="W1496" s="38"/>
      <c r="X1496" s="12"/>
      <c r="Y1496" s="17"/>
    </row>
    <row r="1497" spans="19:25">
      <c r="S1497" s="17"/>
      <c r="T1497" s="12"/>
      <c r="U1497" s="12"/>
      <c r="V1497" s="17"/>
      <c r="W1497" s="38"/>
      <c r="X1497" s="12"/>
      <c r="Y1497" s="17"/>
    </row>
    <row r="1498" spans="19:25">
      <c r="S1498" s="17"/>
      <c r="T1498" s="12"/>
      <c r="U1498" s="12"/>
      <c r="V1498" s="17"/>
      <c r="W1498" s="38"/>
      <c r="X1498" s="12"/>
      <c r="Y1498" s="17"/>
    </row>
    <row r="1499" spans="19:25">
      <c r="S1499" s="17"/>
      <c r="T1499" s="12"/>
      <c r="U1499" s="12"/>
      <c r="V1499" s="17"/>
      <c r="W1499" s="38"/>
      <c r="X1499" s="12"/>
      <c r="Y1499" s="17"/>
    </row>
    <row r="1500" spans="19:25">
      <c r="S1500" s="17"/>
      <c r="T1500" s="12"/>
      <c r="U1500" s="12"/>
      <c r="V1500" s="17"/>
      <c r="W1500" s="38"/>
      <c r="X1500" s="12"/>
      <c r="Y1500" s="17"/>
    </row>
    <row r="1501" spans="19:25">
      <c r="S1501" s="17"/>
      <c r="T1501" s="12"/>
      <c r="U1501" s="12"/>
      <c r="V1501" s="17"/>
      <c r="W1501" s="38"/>
      <c r="X1501" s="12"/>
      <c r="Y1501" s="17"/>
    </row>
    <row r="1502" spans="19:25">
      <c r="S1502" s="17"/>
      <c r="T1502" s="12"/>
      <c r="U1502" s="12"/>
      <c r="V1502" s="17"/>
      <c r="W1502" s="38"/>
      <c r="X1502" s="12"/>
      <c r="Y1502" s="17"/>
    </row>
    <row r="1503" spans="19:25">
      <c r="S1503" s="17"/>
      <c r="T1503" s="12"/>
      <c r="U1503" s="12"/>
      <c r="V1503" s="17"/>
      <c r="W1503" s="38"/>
      <c r="X1503" s="12"/>
      <c r="Y1503" s="17"/>
    </row>
    <row r="1504" spans="19:25">
      <c r="S1504" s="17"/>
      <c r="T1504" s="12"/>
      <c r="U1504" s="12"/>
      <c r="V1504" s="17"/>
      <c r="W1504" s="38"/>
      <c r="X1504" s="12"/>
      <c r="Y1504" s="17"/>
    </row>
    <row r="1505" spans="19:25">
      <c r="S1505" s="17"/>
      <c r="T1505" s="12"/>
      <c r="U1505" s="12"/>
      <c r="V1505" s="17"/>
      <c r="W1505" s="38"/>
      <c r="X1505" s="12"/>
      <c r="Y1505" s="17"/>
    </row>
    <row r="1506" spans="19:25">
      <c r="S1506" s="17"/>
      <c r="T1506" s="12"/>
      <c r="U1506" s="12"/>
      <c r="V1506" s="17"/>
      <c r="W1506" s="38"/>
      <c r="X1506" s="12"/>
      <c r="Y1506" s="17"/>
    </row>
    <row r="1507" spans="19:25">
      <c r="S1507" s="17"/>
      <c r="T1507" s="12"/>
      <c r="U1507" s="12"/>
      <c r="V1507" s="17"/>
      <c r="W1507" s="38"/>
      <c r="X1507" s="12"/>
      <c r="Y1507" s="17"/>
    </row>
    <row r="1508" spans="19:25">
      <c r="S1508" s="17"/>
      <c r="T1508" s="12"/>
      <c r="U1508" s="12"/>
      <c r="V1508" s="17"/>
      <c r="W1508" s="38"/>
      <c r="X1508" s="12"/>
      <c r="Y1508" s="17"/>
    </row>
    <row r="1509" spans="19:25">
      <c r="S1509" s="17"/>
      <c r="T1509" s="12"/>
      <c r="U1509" s="12"/>
      <c r="V1509" s="17"/>
      <c r="W1509" s="38"/>
      <c r="X1509" s="12"/>
      <c r="Y1509" s="17"/>
    </row>
    <row r="1510" spans="19:25">
      <c r="S1510" s="17"/>
      <c r="T1510" s="12"/>
      <c r="U1510" s="12"/>
      <c r="V1510" s="17"/>
      <c r="W1510" s="38"/>
      <c r="X1510" s="12"/>
      <c r="Y1510" s="17"/>
    </row>
    <row r="1511" spans="19:25">
      <c r="S1511" s="17"/>
      <c r="T1511" s="12"/>
      <c r="U1511" s="12"/>
      <c r="V1511" s="17"/>
      <c r="W1511" s="38"/>
      <c r="X1511" s="12"/>
      <c r="Y1511" s="17"/>
    </row>
    <row r="1512" spans="19:25">
      <c r="S1512" s="17"/>
      <c r="T1512" s="12"/>
      <c r="U1512" s="12"/>
      <c r="V1512" s="17"/>
      <c r="W1512" s="38"/>
      <c r="X1512" s="12"/>
      <c r="Y1512" s="17"/>
    </row>
    <row r="1513" spans="19:25">
      <c r="S1513" s="17"/>
      <c r="T1513" s="12"/>
      <c r="U1513" s="12"/>
      <c r="V1513" s="17"/>
      <c r="W1513" s="38"/>
      <c r="X1513" s="12"/>
      <c r="Y1513" s="17"/>
    </row>
    <row r="1514" spans="19:25">
      <c r="S1514" s="17"/>
      <c r="T1514" s="12"/>
      <c r="U1514" s="12"/>
      <c r="V1514" s="17"/>
      <c r="W1514" s="38"/>
      <c r="X1514" s="12"/>
      <c r="Y1514" s="17"/>
    </row>
    <row r="1515" spans="19:25">
      <c r="S1515" s="17"/>
      <c r="T1515" s="12"/>
      <c r="U1515" s="12"/>
      <c r="V1515" s="17"/>
      <c r="W1515" s="38"/>
      <c r="X1515" s="12"/>
      <c r="Y1515" s="17"/>
    </row>
    <row r="1516" spans="19:25">
      <c r="S1516" s="17"/>
      <c r="T1516" s="12"/>
      <c r="U1516" s="12"/>
      <c r="V1516" s="17"/>
      <c r="W1516" s="38"/>
      <c r="X1516" s="12"/>
      <c r="Y1516" s="17"/>
    </row>
    <row r="1517" spans="19:25">
      <c r="S1517" s="17"/>
      <c r="T1517" s="12"/>
      <c r="U1517" s="12"/>
      <c r="V1517" s="17"/>
      <c r="W1517" s="38"/>
      <c r="X1517" s="12"/>
      <c r="Y1517" s="17"/>
    </row>
    <row r="1518" spans="19:25">
      <c r="S1518" s="17"/>
      <c r="T1518" s="12"/>
      <c r="U1518" s="12"/>
      <c r="V1518" s="17"/>
      <c r="W1518" s="38"/>
      <c r="X1518" s="12"/>
      <c r="Y1518" s="17"/>
    </row>
    <row r="1519" spans="19:25">
      <c r="S1519" s="17"/>
      <c r="T1519" s="12"/>
      <c r="U1519" s="12"/>
      <c r="V1519" s="17"/>
      <c r="W1519" s="38"/>
      <c r="X1519" s="12"/>
      <c r="Y1519" s="17"/>
    </row>
    <row r="1520" spans="19:25">
      <c r="S1520" s="17"/>
      <c r="T1520" s="12"/>
      <c r="U1520" s="12"/>
      <c r="V1520" s="17"/>
      <c r="W1520" s="38"/>
      <c r="X1520" s="12"/>
      <c r="Y1520" s="17"/>
    </row>
    <row r="1521" spans="19:25">
      <c r="S1521" s="17"/>
      <c r="T1521" s="12"/>
      <c r="U1521" s="12"/>
      <c r="V1521" s="17"/>
      <c r="W1521" s="38"/>
      <c r="X1521" s="12"/>
      <c r="Y1521" s="17"/>
    </row>
    <row r="1522" spans="19:25">
      <c r="S1522" s="17"/>
      <c r="T1522" s="12"/>
      <c r="U1522" s="12"/>
      <c r="V1522" s="17"/>
      <c r="W1522" s="38"/>
      <c r="X1522" s="12"/>
      <c r="Y1522" s="17"/>
    </row>
    <row r="1523" spans="19:25">
      <c r="S1523" s="17"/>
      <c r="T1523" s="12"/>
      <c r="U1523" s="12"/>
      <c r="V1523" s="17"/>
      <c r="W1523" s="38"/>
      <c r="X1523" s="12"/>
      <c r="Y1523" s="17"/>
    </row>
    <row r="1524" spans="19:25">
      <c r="S1524" s="17"/>
      <c r="T1524" s="12"/>
      <c r="U1524" s="12"/>
      <c r="V1524" s="17"/>
      <c r="W1524" s="38"/>
      <c r="X1524" s="12"/>
      <c r="Y1524" s="17"/>
    </row>
    <row r="1525" spans="19:25">
      <c r="S1525" s="17"/>
      <c r="T1525" s="12"/>
      <c r="U1525" s="12"/>
      <c r="V1525" s="17"/>
      <c r="W1525" s="38"/>
      <c r="X1525" s="12"/>
      <c r="Y1525" s="17"/>
    </row>
    <row r="1526" spans="19:25">
      <c r="S1526" s="17"/>
      <c r="T1526" s="12"/>
      <c r="U1526" s="12"/>
      <c r="V1526" s="17"/>
      <c r="W1526" s="38"/>
      <c r="X1526" s="12"/>
      <c r="Y1526" s="17"/>
    </row>
    <row r="1527" spans="19:25">
      <c r="S1527" s="17"/>
      <c r="T1527" s="12"/>
      <c r="U1527" s="12"/>
      <c r="V1527" s="17"/>
      <c r="W1527" s="38"/>
      <c r="X1527" s="12"/>
      <c r="Y1527" s="17"/>
    </row>
    <row r="1528" spans="19:25">
      <c r="S1528" s="17"/>
      <c r="T1528" s="12"/>
      <c r="U1528" s="12"/>
      <c r="V1528" s="17"/>
      <c r="W1528" s="38"/>
      <c r="X1528" s="12"/>
      <c r="Y1528" s="17"/>
    </row>
    <row r="1529" spans="19:25">
      <c r="S1529" s="17"/>
      <c r="T1529" s="12"/>
      <c r="U1529" s="12"/>
      <c r="V1529" s="17"/>
      <c r="W1529" s="38"/>
      <c r="X1529" s="12"/>
      <c r="Y1529" s="17"/>
    </row>
    <row r="1530" spans="19:25">
      <c r="S1530" s="17"/>
      <c r="T1530" s="12"/>
      <c r="U1530" s="12"/>
      <c r="V1530" s="17"/>
      <c r="W1530" s="38"/>
      <c r="X1530" s="12"/>
      <c r="Y1530" s="17"/>
    </row>
    <row r="1531" spans="19:25">
      <c r="S1531" s="17"/>
      <c r="T1531" s="12"/>
      <c r="U1531" s="12"/>
      <c r="V1531" s="17"/>
      <c r="W1531" s="38"/>
      <c r="X1531" s="12"/>
      <c r="Y1531" s="17"/>
    </row>
    <row r="1532" spans="19:25">
      <c r="S1532" s="17"/>
      <c r="T1532" s="12"/>
      <c r="U1532" s="12"/>
      <c r="V1532" s="17"/>
      <c r="W1532" s="38"/>
      <c r="X1532" s="12"/>
      <c r="Y1532" s="17"/>
    </row>
    <row r="1533" spans="19:25">
      <c r="S1533" s="17"/>
      <c r="T1533" s="12"/>
      <c r="U1533" s="12"/>
      <c r="V1533" s="17"/>
      <c r="W1533" s="38"/>
      <c r="X1533" s="12"/>
      <c r="Y1533" s="17"/>
    </row>
    <row r="1534" spans="19:25">
      <c r="S1534" s="17"/>
      <c r="T1534" s="12"/>
      <c r="U1534" s="12"/>
      <c r="V1534" s="17"/>
      <c r="W1534" s="38"/>
      <c r="X1534" s="12"/>
      <c r="Y1534" s="17"/>
    </row>
    <row r="1535" spans="19:25">
      <c r="S1535" s="17"/>
      <c r="T1535" s="12"/>
      <c r="U1535" s="12"/>
      <c r="V1535" s="17"/>
      <c r="W1535" s="38"/>
      <c r="X1535" s="12"/>
      <c r="Y1535" s="17"/>
    </row>
    <row r="1536" spans="19:25">
      <c r="S1536" s="17"/>
      <c r="T1536" s="12"/>
      <c r="U1536" s="12"/>
      <c r="V1536" s="17"/>
      <c r="W1536" s="38"/>
      <c r="X1536" s="12"/>
      <c r="Y1536" s="17"/>
    </row>
    <row r="1537" spans="19:25">
      <c r="S1537" s="17"/>
      <c r="T1537" s="12"/>
      <c r="U1537" s="12"/>
      <c r="V1537" s="17"/>
      <c r="W1537" s="38"/>
      <c r="X1537" s="12"/>
      <c r="Y1537" s="17"/>
    </row>
    <row r="1538" spans="19:25">
      <c r="S1538" s="17"/>
      <c r="T1538" s="12"/>
      <c r="U1538" s="12"/>
      <c r="V1538" s="17"/>
      <c r="W1538" s="38"/>
      <c r="X1538" s="12"/>
      <c r="Y1538" s="17"/>
    </row>
    <row r="1539" spans="19:25">
      <c r="S1539" s="17"/>
      <c r="T1539" s="12"/>
      <c r="U1539" s="12"/>
      <c r="V1539" s="17"/>
      <c r="W1539" s="38"/>
      <c r="X1539" s="12"/>
      <c r="Y1539" s="17"/>
    </row>
    <row r="1540" spans="19:25">
      <c r="S1540" s="17"/>
      <c r="T1540" s="12"/>
      <c r="U1540" s="12"/>
      <c r="V1540" s="17"/>
      <c r="W1540" s="38"/>
      <c r="X1540" s="12"/>
      <c r="Y1540" s="17"/>
    </row>
    <row r="1541" spans="19:25">
      <c r="S1541" s="17"/>
      <c r="T1541" s="12"/>
      <c r="U1541" s="12"/>
      <c r="V1541" s="17"/>
      <c r="W1541" s="38"/>
      <c r="X1541" s="12"/>
      <c r="Y1541" s="17"/>
    </row>
    <row r="1542" spans="19:25">
      <c r="S1542" s="17"/>
      <c r="T1542" s="12"/>
      <c r="U1542" s="12"/>
      <c r="V1542" s="17"/>
      <c r="W1542" s="38"/>
      <c r="X1542" s="12"/>
      <c r="Y1542" s="17"/>
    </row>
    <row r="1543" spans="19:25">
      <c r="S1543" s="17"/>
      <c r="T1543" s="12"/>
      <c r="U1543" s="12"/>
      <c r="V1543" s="17"/>
      <c r="W1543" s="38"/>
      <c r="X1543" s="12"/>
      <c r="Y1543" s="17"/>
    </row>
    <row r="1544" spans="19:25">
      <c r="S1544" s="17"/>
      <c r="T1544" s="12"/>
      <c r="U1544" s="12"/>
      <c r="V1544" s="17"/>
      <c r="W1544" s="38"/>
      <c r="X1544" s="12"/>
      <c r="Y1544" s="17"/>
    </row>
    <row r="1545" spans="19:25">
      <c r="S1545" s="17"/>
      <c r="T1545" s="12"/>
      <c r="U1545" s="12"/>
      <c r="V1545" s="17"/>
      <c r="W1545" s="38"/>
      <c r="X1545" s="12"/>
      <c r="Y1545" s="17"/>
    </row>
    <row r="1546" spans="19:25">
      <c r="S1546" s="17"/>
      <c r="T1546" s="12"/>
      <c r="U1546" s="12"/>
      <c r="V1546" s="17"/>
      <c r="W1546" s="38"/>
      <c r="X1546" s="12"/>
      <c r="Y1546" s="17"/>
    </row>
    <row r="1547" spans="19:25">
      <c r="S1547" s="17"/>
      <c r="T1547" s="12"/>
      <c r="U1547" s="12"/>
      <c r="V1547" s="17"/>
      <c r="W1547" s="38"/>
      <c r="X1547" s="12"/>
      <c r="Y1547" s="17"/>
    </row>
    <row r="1548" spans="19:25">
      <c r="S1548" s="17"/>
      <c r="T1548" s="12"/>
      <c r="U1548" s="12"/>
      <c r="V1548" s="17"/>
      <c r="W1548" s="38"/>
      <c r="X1548" s="12"/>
      <c r="Y1548" s="17"/>
    </row>
    <row r="1549" spans="19:25">
      <c r="S1549" s="17"/>
      <c r="T1549" s="12"/>
      <c r="U1549" s="12"/>
      <c r="V1549" s="17"/>
      <c r="W1549" s="38"/>
      <c r="X1549" s="12"/>
      <c r="Y1549" s="17"/>
    </row>
    <row r="1550" spans="19:25">
      <c r="S1550" s="17"/>
      <c r="T1550" s="12"/>
      <c r="U1550" s="12"/>
      <c r="V1550" s="17"/>
      <c r="W1550" s="38"/>
      <c r="X1550" s="12"/>
      <c r="Y1550" s="17"/>
    </row>
    <row r="1551" spans="19:25">
      <c r="S1551" s="17"/>
      <c r="T1551" s="12"/>
      <c r="U1551" s="12"/>
      <c r="V1551" s="17"/>
      <c r="W1551" s="38"/>
      <c r="X1551" s="12"/>
      <c r="Y1551" s="17"/>
    </row>
    <row r="1552" spans="19:25">
      <c r="S1552" s="17"/>
      <c r="T1552" s="12"/>
      <c r="U1552" s="12"/>
      <c r="V1552" s="17"/>
      <c r="W1552" s="38"/>
      <c r="X1552" s="12"/>
      <c r="Y1552" s="17"/>
    </row>
    <row r="1553" spans="19:25">
      <c r="S1553" s="17"/>
      <c r="T1553" s="12"/>
      <c r="U1553" s="12"/>
      <c r="V1553" s="17"/>
      <c r="W1553" s="38"/>
      <c r="X1553" s="12"/>
      <c r="Y1553" s="17"/>
    </row>
    <row r="1554" spans="19:25">
      <c r="S1554" s="17"/>
      <c r="T1554" s="12"/>
      <c r="U1554" s="12"/>
      <c r="V1554" s="17"/>
      <c r="W1554" s="38"/>
      <c r="X1554" s="12"/>
      <c r="Y1554" s="17"/>
    </row>
    <row r="1555" spans="19:25">
      <c r="S1555" s="17"/>
      <c r="T1555" s="12"/>
      <c r="U1555" s="12"/>
      <c r="V1555" s="17"/>
      <c r="W1555" s="38"/>
      <c r="X1555" s="12"/>
      <c r="Y1555" s="17"/>
    </row>
    <row r="1556" spans="19:25">
      <c r="S1556" s="17"/>
      <c r="T1556" s="12"/>
      <c r="U1556" s="12"/>
      <c r="V1556" s="17"/>
      <c r="W1556" s="38"/>
      <c r="X1556" s="12"/>
      <c r="Y1556" s="17"/>
    </row>
    <row r="1557" spans="19:25">
      <c r="S1557" s="17"/>
      <c r="T1557" s="12"/>
      <c r="U1557" s="12"/>
      <c r="V1557" s="17"/>
      <c r="W1557" s="38"/>
      <c r="X1557" s="12"/>
      <c r="Y1557" s="17"/>
    </row>
    <row r="1558" spans="19:25">
      <c r="S1558" s="17"/>
      <c r="T1558" s="12"/>
      <c r="U1558" s="12"/>
      <c r="V1558" s="17"/>
      <c r="W1558" s="38"/>
      <c r="X1558" s="12"/>
      <c r="Y1558" s="17"/>
    </row>
    <row r="1559" spans="19:25">
      <c r="S1559" s="17"/>
      <c r="T1559" s="12"/>
      <c r="U1559" s="12"/>
      <c r="V1559" s="17"/>
      <c r="W1559" s="38"/>
      <c r="X1559" s="12"/>
      <c r="Y1559" s="17"/>
    </row>
    <row r="1560" spans="19:25">
      <c r="S1560" s="17"/>
      <c r="T1560" s="12"/>
      <c r="U1560" s="12"/>
      <c r="V1560" s="17"/>
      <c r="W1560" s="38"/>
      <c r="X1560" s="12"/>
      <c r="Y1560" s="17"/>
    </row>
    <row r="1561" spans="19:25">
      <c r="S1561" s="17"/>
      <c r="T1561" s="12"/>
      <c r="U1561" s="12"/>
      <c r="V1561" s="17"/>
      <c r="W1561" s="38"/>
      <c r="X1561" s="12"/>
      <c r="Y1561" s="17"/>
    </row>
    <row r="1562" spans="19:25">
      <c r="S1562" s="17"/>
      <c r="T1562" s="12"/>
      <c r="U1562" s="12"/>
      <c r="V1562" s="17"/>
      <c r="W1562" s="38"/>
      <c r="X1562" s="12"/>
      <c r="Y1562" s="17"/>
    </row>
    <row r="1563" spans="19:25">
      <c r="S1563" s="17"/>
      <c r="T1563" s="12"/>
      <c r="U1563" s="12"/>
      <c r="V1563" s="17"/>
      <c r="W1563" s="38"/>
      <c r="X1563" s="12"/>
      <c r="Y1563" s="17"/>
    </row>
    <row r="1564" spans="19:25">
      <c r="S1564" s="17"/>
      <c r="T1564" s="12"/>
      <c r="U1564" s="12"/>
      <c r="V1564" s="17"/>
      <c r="W1564" s="38"/>
      <c r="X1564" s="12"/>
      <c r="Y1564" s="17"/>
    </row>
    <row r="1565" spans="19:25">
      <c r="S1565" s="17"/>
      <c r="T1565" s="12"/>
      <c r="U1565" s="12"/>
      <c r="V1565" s="17"/>
      <c r="W1565" s="38"/>
      <c r="X1565" s="12"/>
      <c r="Y1565" s="17"/>
    </row>
    <row r="1566" spans="19:25">
      <c r="S1566" s="17"/>
      <c r="T1566" s="12"/>
      <c r="U1566" s="12"/>
      <c r="V1566" s="17"/>
      <c r="W1566" s="38"/>
      <c r="X1566" s="12"/>
      <c r="Y1566" s="17"/>
    </row>
    <row r="1567" spans="19:25">
      <c r="S1567" s="17"/>
      <c r="T1567" s="12"/>
      <c r="U1567" s="12"/>
      <c r="V1567" s="17"/>
      <c r="W1567" s="38"/>
      <c r="X1567" s="12"/>
      <c r="Y1567" s="17"/>
    </row>
    <row r="1568" spans="19:25">
      <c r="S1568" s="17"/>
      <c r="T1568" s="12"/>
      <c r="U1568" s="12"/>
      <c r="V1568" s="17"/>
      <c r="W1568" s="38"/>
      <c r="X1568" s="12"/>
      <c r="Y1568" s="17"/>
    </row>
    <row r="1569" spans="19:25">
      <c r="S1569" s="17"/>
      <c r="T1569" s="12"/>
      <c r="U1569" s="12"/>
      <c r="V1569" s="17"/>
      <c r="W1569" s="38"/>
      <c r="X1569" s="12"/>
      <c r="Y1569" s="17"/>
    </row>
    <row r="1570" spans="19:25">
      <c r="S1570" s="17"/>
      <c r="T1570" s="12"/>
      <c r="U1570" s="12"/>
      <c r="V1570" s="17"/>
      <c r="W1570" s="38"/>
      <c r="X1570" s="12"/>
      <c r="Y1570" s="17"/>
    </row>
    <row r="1571" spans="19:25">
      <c r="S1571" s="17"/>
      <c r="T1571" s="12"/>
      <c r="U1571" s="12"/>
      <c r="V1571" s="17"/>
      <c r="W1571" s="38"/>
      <c r="X1571" s="12"/>
      <c r="Y1571" s="17"/>
    </row>
    <row r="1572" spans="19:25">
      <c r="S1572" s="17"/>
      <c r="T1572" s="12"/>
      <c r="U1572" s="12"/>
      <c r="V1572" s="17"/>
      <c r="W1572" s="38"/>
      <c r="X1572" s="12"/>
      <c r="Y1572" s="17"/>
    </row>
    <row r="1573" spans="19:25">
      <c r="S1573" s="17"/>
      <c r="T1573" s="12"/>
      <c r="U1573" s="12"/>
      <c r="V1573" s="17"/>
      <c r="W1573" s="38"/>
      <c r="X1573" s="12"/>
      <c r="Y1573" s="17"/>
    </row>
    <row r="1574" spans="19:25">
      <c r="S1574" s="17"/>
      <c r="T1574" s="12"/>
      <c r="U1574" s="12"/>
      <c r="V1574" s="17"/>
      <c r="W1574" s="38"/>
      <c r="X1574" s="12"/>
      <c r="Y1574" s="17"/>
    </row>
    <row r="1575" spans="19:25">
      <c r="S1575" s="17"/>
      <c r="T1575" s="12"/>
      <c r="U1575" s="12"/>
      <c r="V1575" s="17"/>
      <c r="W1575" s="38"/>
      <c r="X1575" s="12"/>
      <c r="Y1575" s="17"/>
    </row>
    <row r="1576" spans="19:25">
      <c r="S1576" s="17"/>
      <c r="T1576" s="12"/>
      <c r="U1576" s="12"/>
      <c r="V1576" s="17"/>
      <c r="W1576" s="38"/>
      <c r="X1576" s="12"/>
      <c r="Y1576" s="17"/>
    </row>
    <row r="1577" spans="19:25">
      <c r="S1577" s="17"/>
      <c r="T1577" s="12"/>
      <c r="U1577" s="12"/>
      <c r="V1577" s="17"/>
      <c r="W1577" s="38"/>
      <c r="X1577" s="12"/>
      <c r="Y1577" s="17"/>
    </row>
    <row r="1578" spans="19:25">
      <c r="S1578" s="17"/>
      <c r="T1578" s="12"/>
      <c r="U1578" s="12"/>
      <c r="V1578" s="17"/>
      <c r="W1578" s="38"/>
      <c r="X1578" s="12"/>
      <c r="Y1578" s="17"/>
    </row>
    <row r="1579" spans="19:25">
      <c r="S1579" s="17"/>
      <c r="T1579" s="12"/>
      <c r="U1579" s="12"/>
      <c r="V1579" s="17"/>
      <c r="W1579" s="38"/>
      <c r="X1579" s="12"/>
      <c r="Y1579" s="17"/>
    </row>
    <row r="1580" spans="19:25">
      <c r="S1580" s="17"/>
      <c r="T1580" s="12"/>
      <c r="U1580" s="12"/>
      <c r="V1580" s="17"/>
      <c r="W1580" s="38"/>
      <c r="X1580" s="12"/>
      <c r="Y1580" s="17"/>
    </row>
    <row r="1581" spans="19:25">
      <c r="S1581" s="17"/>
      <c r="T1581" s="12"/>
      <c r="U1581" s="12"/>
      <c r="V1581" s="17"/>
      <c r="W1581" s="38"/>
      <c r="X1581" s="12"/>
      <c r="Y1581" s="17"/>
    </row>
    <row r="1582" spans="19:25">
      <c r="S1582" s="17"/>
      <c r="T1582" s="12"/>
      <c r="U1582" s="12"/>
      <c r="V1582" s="17"/>
      <c r="W1582" s="38"/>
      <c r="X1582" s="12"/>
      <c r="Y1582" s="17"/>
    </row>
    <row r="1583" spans="19:25">
      <c r="S1583" s="17"/>
      <c r="T1583" s="12"/>
      <c r="U1583" s="12"/>
      <c r="V1583" s="17"/>
      <c r="W1583" s="38"/>
      <c r="X1583" s="12"/>
      <c r="Y1583" s="17"/>
    </row>
    <row r="1584" spans="19:25">
      <c r="S1584" s="17"/>
      <c r="T1584" s="12"/>
      <c r="U1584" s="12"/>
      <c r="V1584" s="17"/>
      <c r="W1584" s="38"/>
      <c r="X1584" s="12"/>
      <c r="Y1584" s="17"/>
    </row>
    <row r="1585" spans="19:25">
      <c r="S1585" s="17"/>
      <c r="T1585" s="12"/>
      <c r="U1585" s="12"/>
      <c r="V1585" s="17"/>
      <c r="W1585" s="38"/>
      <c r="X1585" s="12"/>
      <c r="Y1585" s="17"/>
    </row>
    <row r="1586" spans="19:25">
      <c r="S1586" s="17"/>
      <c r="T1586" s="12"/>
      <c r="U1586" s="12"/>
      <c r="V1586" s="17"/>
      <c r="W1586" s="38"/>
      <c r="X1586" s="12"/>
      <c r="Y1586" s="17"/>
    </row>
    <row r="1587" spans="19:25">
      <c r="S1587" s="17"/>
      <c r="T1587" s="12"/>
      <c r="U1587" s="12"/>
      <c r="V1587" s="17"/>
      <c r="W1587" s="38"/>
      <c r="X1587" s="12"/>
      <c r="Y1587" s="17"/>
    </row>
    <row r="1588" spans="19:25">
      <c r="S1588" s="17"/>
      <c r="T1588" s="12"/>
      <c r="U1588" s="12"/>
      <c r="V1588" s="17"/>
      <c r="W1588" s="38"/>
      <c r="X1588" s="12"/>
      <c r="Y1588" s="17"/>
    </row>
    <row r="1589" spans="19:25">
      <c r="S1589" s="17"/>
      <c r="T1589" s="12"/>
      <c r="U1589" s="12"/>
      <c r="V1589" s="17"/>
      <c r="W1589" s="38"/>
      <c r="X1589" s="12"/>
      <c r="Y1589" s="17"/>
    </row>
    <row r="1590" spans="19:25">
      <c r="S1590" s="17"/>
      <c r="T1590" s="12"/>
      <c r="U1590" s="12"/>
      <c r="V1590" s="17"/>
      <c r="W1590" s="38"/>
      <c r="X1590" s="12"/>
      <c r="Y1590" s="17"/>
    </row>
    <row r="1591" spans="19:25">
      <c r="S1591" s="17"/>
      <c r="T1591" s="12"/>
      <c r="U1591" s="12"/>
      <c r="V1591" s="17"/>
      <c r="W1591" s="38"/>
      <c r="X1591" s="12"/>
      <c r="Y1591" s="17"/>
    </row>
    <row r="1592" spans="19:25">
      <c r="S1592" s="17"/>
      <c r="T1592" s="12"/>
      <c r="U1592" s="12"/>
      <c r="V1592" s="17"/>
      <c r="W1592" s="38"/>
      <c r="X1592" s="12"/>
      <c r="Y1592" s="17"/>
    </row>
    <row r="1593" spans="19:25">
      <c r="S1593" s="17"/>
      <c r="T1593" s="12"/>
      <c r="U1593" s="12"/>
      <c r="V1593" s="17"/>
      <c r="W1593" s="38"/>
      <c r="X1593" s="12"/>
      <c r="Y1593" s="17"/>
    </row>
    <row r="1594" spans="19:25">
      <c r="S1594" s="17"/>
      <c r="T1594" s="12"/>
      <c r="U1594" s="12"/>
      <c r="V1594" s="17"/>
      <c r="W1594" s="38"/>
      <c r="X1594" s="12"/>
      <c r="Y1594" s="17"/>
    </row>
    <row r="1595" spans="19:25">
      <c r="S1595" s="17"/>
      <c r="T1595" s="12"/>
      <c r="U1595" s="12"/>
      <c r="V1595" s="17"/>
      <c r="W1595" s="38"/>
      <c r="X1595" s="12"/>
      <c r="Y1595" s="17"/>
    </row>
    <row r="1596" spans="19:25">
      <c r="S1596" s="17"/>
      <c r="T1596" s="12"/>
      <c r="U1596" s="12"/>
      <c r="V1596" s="17"/>
      <c r="W1596" s="38"/>
      <c r="X1596" s="12"/>
      <c r="Y1596" s="17"/>
    </row>
    <row r="1597" spans="19:25">
      <c r="S1597" s="17"/>
      <c r="T1597" s="12"/>
      <c r="U1597" s="12"/>
      <c r="V1597" s="17"/>
      <c r="W1597" s="38"/>
      <c r="X1597" s="12"/>
      <c r="Y1597" s="17"/>
    </row>
    <row r="1598" spans="19:25">
      <c r="S1598" s="17"/>
      <c r="T1598" s="12"/>
      <c r="U1598" s="12"/>
      <c r="V1598" s="17"/>
      <c r="W1598" s="38"/>
      <c r="X1598" s="12"/>
      <c r="Y1598" s="17"/>
    </row>
    <row r="1599" spans="19:25">
      <c r="S1599" s="17"/>
      <c r="T1599" s="12"/>
      <c r="U1599" s="12"/>
      <c r="V1599" s="17"/>
      <c r="W1599" s="38"/>
      <c r="X1599" s="12"/>
      <c r="Y1599" s="17"/>
    </row>
    <row r="1600" spans="19:25">
      <c r="S1600" s="17"/>
      <c r="T1600" s="12"/>
      <c r="U1600" s="12"/>
      <c r="V1600" s="17"/>
      <c r="W1600" s="38"/>
      <c r="X1600" s="12"/>
      <c r="Y1600" s="17"/>
    </row>
    <row r="1601" spans="19:25">
      <c r="S1601" s="17"/>
      <c r="T1601" s="12"/>
      <c r="U1601" s="12"/>
      <c r="V1601" s="17"/>
      <c r="W1601" s="38"/>
      <c r="X1601" s="12"/>
      <c r="Y1601" s="17"/>
    </row>
    <row r="1602" spans="19:25">
      <c r="S1602" s="17"/>
      <c r="T1602" s="12"/>
      <c r="U1602" s="12"/>
      <c r="V1602" s="17"/>
      <c r="W1602" s="38"/>
      <c r="X1602" s="12"/>
      <c r="Y1602" s="17"/>
    </row>
    <row r="1603" spans="19:25">
      <c r="S1603" s="17"/>
      <c r="T1603" s="12"/>
      <c r="U1603" s="12"/>
      <c r="V1603" s="17"/>
      <c r="W1603" s="38"/>
      <c r="X1603" s="12"/>
      <c r="Y1603" s="17"/>
    </row>
    <row r="1604" spans="19:25">
      <c r="S1604" s="17"/>
      <c r="T1604" s="12"/>
      <c r="U1604" s="12"/>
      <c r="V1604" s="17"/>
      <c r="W1604" s="38"/>
      <c r="X1604" s="12"/>
      <c r="Y1604" s="17"/>
    </row>
    <row r="1605" spans="19:25">
      <c r="S1605" s="17"/>
      <c r="T1605" s="12"/>
      <c r="U1605" s="12"/>
      <c r="V1605" s="17"/>
      <c r="W1605" s="38"/>
      <c r="X1605" s="12"/>
      <c r="Y1605" s="17"/>
    </row>
    <row r="1606" spans="19:25">
      <c r="S1606" s="17"/>
      <c r="T1606" s="12"/>
      <c r="U1606" s="12"/>
      <c r="V1606" s="17"/>
      <c r="W1606" s="38"/>
      <c r="X1606" s="12"/>
      <c r="Y1606" s="17"/>
    </row>
    <row r="1607" spans="19:25">
      <c r="S1607" s="17"/>
      <c r="T1607" s="12"/>
      <c r="U1607" s="12"/>
      <c r="V1607" s="17"/>
      <c r="W1607" s="38"/>
      <c r="X1607" s="12"/>
      <c r="Y1607" s="17"/>
    </row>
    <row r="1608" spans="19:25">
      <c r="S1608" s="17"/>
      <c r="T1608" s="12"/>
      <c r="U1608" s="12"/>
      <c r="V1608" s="17"/>
      <c r="W1608" s="38"/>
      <c r="X1608" s="12"/>
      <c r="Y1608" s="17"/>
    </row>
    <row r="1609" spans="19:25">
      <c r="S1609" s="17"/>
      <c r="T1609" s="12"/>
      <c r="U1609" s="12"/>
      <c r="V1609" s="17"/>
      <c r="W1609" s="38"/>
      <c r="X1609" s="12"/>
      <c r="Y1609" s="17"/>
    </row>
    <row r="1610" spans="19:25">
      <c r="S1610" s="17"/>
      <c r="T1610" s="12"/>
      <c r="U1610" s="12"/>
      <c r="V1610" s="17"/>
      <c r="W1610" s="38"/>
      <c r="X1610" s="12"/>
      <c r="Y1610" s="17"/>
    </row>
    <row r="1611" spans="19:25">
      <c r="S1611" s="17"/>
      <c r="T1611" s="12"/>
      <c r="U1611" s="12"/>
      <c r="V1611" s="17"/>
      <c r="W1611" s="38"/>
      <c r="X1611" s="12"/>
      <c r="Y1611" s="17"/>
    </row>
    <row r="1612" spans="19:25">
      <c r="S1612" s="17"/>
      <c r="T1612" s="12"/>
      <c r="U1612" s="12"/>
      <c r="V1612" s="17"/>
      <c r="W1612" s="38"/>
      <c r="X1612" s="12"/>
      <c r="Y1612" s="17"/>
    </row>
    <row r="1613" spans="19:25">
      <c r="S1613" s="17"/>
      <c r="T1613" s="12"/>
      <c r="U1613" s="12"/>
      <c r="V1613" s="17"/>
      <c r="W1613" s="38"/>
      <c r="X1613" s="12"/>
      <c r="Y1613" s="17"/>
    </row>
    <row r="1614" spans="19:25">
      <c r="S1614" s="17"/>
      <c r="T1614" s="12"/>
      <c r="U1614" s="12"/>
      <c r="V1614" s="17"/>
      <c r="W1614" s="38"/>
      <c r="X1614" s="12"/>
      <c r="Y1614" s="17"/>
    </row>
    <row r="1615" spans="19:25">
      <c r="S1615" s="17"/>
      <c r="T1615" s="12"/>
      <c r="U1615" s="12"/>
      <c r="V1615" s="17"/>
      <c r="W1615" s="38"/>
      <c r="X1615" s="12"/>
      <c r="Y1615" s="17"/>
    </row>
    <row r="1616" spans="19:25">
      <c r="S1616" s="17"/>
      <c r="T1616" s="12"/>
      <c r="U1616" s="12"/>
      <c r="V1616" s="17"/>
      <c r="W1616" s="38"/>
      <c r="X1616" s="12"/>
      <c r="Y1616" s="17"/>
    </row>
    <row r="1617" spans="19:25">
      <c r="S1617" s="17"/>
      <c r="T1617" s="12"/>
      <c r="U1617" s="12"/>
      <c r="V1617" s="17"/>
      <c r="W1617" s="38"/>
      <c r="X1617" s="12"/>
      <c r="Y1617" s="17"/>
    </row>
    <row r="1618" spans="19:25">
      <c r="S1618" s="17"/>
      <c r="T1618" s="12"/>
      <c r="U1618" s="12"/>
      <c r="V1618" s="17"/>
      <c r="W1618" s="38"/>
      <c r="X1618" s="12"/>
      <c r="Y1618" s="17"/>
    </row>
    <row r="1619" spans="19:25">
      <c r="S1619" s="17"/>
      <c r="T1619" s="12"/>
      <c r="U1619" s="12"/>
      <c r="V1619" s="17"/>
      <c r="W1619" s="38"/>
      <c r="X1619" s="12"/>
      <c r="Y1619" s="17"/>
    </row>
    <row r="1620" spans="19:25">
      <c r="S1620" s="17"/>
      <c r="T1620" s="12"/>
      <c r="U1620" s="12"/>
      <c r="V1620" s="17"/>
      <c r="W1620" s="38"/>
      <c r="X1620" s="12"/>
      <c r="Y1620" s="17"/>
    </row>
    <row r="1621" spans="19:25">
      <c r="S1621" s="17"/>
      <c r="T1621" s="12"/>
      <c r="U1621" s="12"/>
      <c r="V1621" s="17"/>
      <c r="W1621" s="38"/>
      <c r="X1621" s="12"/>
      <c r="Y1621" s="17"/>
    </row>
    <row r="1622" spans="19:25">
      <c r="S1622" s="17"/>
      <c r="T1622" s="12"/>
      <c r="U1622" s="12"/>
      <c r="V1622" s="17"/>
      <c r="W1622" s="38"/>
      <c r="X1622" s="12"/>
      <c r="Y1622" s="17"/>
    </row>
    <row r="1623" spans="19:25">
      <c r="S1623" s="17"/>
      <c r="T1623" s="12"/>
      <c r="U1623" s="12"/>
      <c r="V1623" s="17"/>
      <c r="W1623" s="38"/>
      <c r="X1623" s="12"/>
      <c r="Y1623" s="17"/>
    </row>
    <row r="1624" spans="19:25">
      <c r="S1624" s="17"/>
      <c r="T1624" s="12"/>
      <c r="U1624" s="12"/>
      <c r="V1624" s="17"/>
      <c r="W1624" s="38"/>
      <c r="X1624" s="12"/>
      <c r="Y1624" s="17"/>
    </row>
    <row r="1625" spans="19:25">
      <c r="S1625" s="17"/>
      <c r="T1625" s="12"/>
      <c r="U1625" s="12"/>
      <c r="V1625" s="17"/>
      <c r="W1625" s="38"/>
      <c r="X1625" s="12"/>
      <c r="Y1625" s="17"/>
    </row>
    <row r="1626" spans="19:25">
      <c r="S1626" s="17"/>
      <c r="T1626" s="12"/>
      <c r="U1626" s="12"/>
      <c r="V1626" s="17"/>
      <c r="W1626" s="38"/>
      <c r="X1626" s="12"/>
      <c r="Y1626" s="17"/>
    </row>
    <row r="1627" spans="19:25">
      <c r="S1627" s="17"/>
      <c r="T1627" s="12"/>
      <c r="U1627" s="12"/>
      <c r="V1627" s="17"/>
      <c r="W1627" s="38"/>
      <c r="X1627" s="12"/>
      <c r="Y1627" s="17"/>
    </row>
    <row r="1628" spans="19:25">
      <c r="S1628" s="17"/>
      <c r="T1628" s="12"/>
      <c r="U1628" s="12"/>
      <c r="V1628" s="17"/>
      <c r="W1628" s="38"/>
      <c r="X1628" s="12"/>
      <c r="Y1628" s="17"/>
    </row>
    <row r="1629" spans="19:25">
      <c r="S1629" s="17"/>
      <c r="T1629" s="12"/>
      <c r="U1629" s="12"/>
      <c r="V1629" s="17"/>
      <c r="W1629" s="38"/>
      <c r="X1629" s="12"/>
      <c r="Y1629" s="17"/>
    </row>
    <row r="1630" spans="19:25">
      <c r="S1630" s="17"/>
      <c r="T1630" s="12"/>
      <c r="U1630" s="12"/>
      <c r="V1630" s="17"/>
      <c r="W1630" s="38"/>
      <c r="X1630" s="12"/>
      <c r="Y1630" s="17"/>
    </row>
    <row r="1631" spans="19:25">
      <c r="S1631" s="17"/>
      <c r="T1631" s="12"/>
      <c r="U1631" s="12"/>
      <c r="V1631" s="17"/>
      <c r="W1631" s="38"/>
      <c r="X1631" s="12"/>
      <c r="Y1631" s="17"/>
    </row>
    <row r="1632" spans="19:25">
      <c r="S1632" s="17"/>
      <c r="T1632" s="12"/>
      <c r="U1632" s="12"/>
      <c r="V1632" s="17"/>
      <c r="W1632" s="38"/>
      <c r="X1632" s="12"/>
      <c r="Y1632" s="17"/>
    </row>
    <row r="1633" spans="19:25">
      <c r="S1633" s="17"/>
      <c r="T1633" s="12"/>
      <c r="U1633" s="12"/>
      <c r="V1633" s="17"/>
      <c r="W1633" s="38"/>
      <c r="X1633" s="12"/>
      <c r="Y1633" s="17"/>
    </row>
    <row r="1634" spans="19:25">
      <c r="S1634" s="17"/>
      <c r="T1634" s="12"/>
      <c r="U1634" s="12"/>
      <c r="V1634" s="17"/>
      <c r="W1634" s="38"/>
      <c r="X1634" s="12"/>
      <c r="Y1634" s="17"/>
    </row>
    <row r="1635" spans="19:25">
      <c r="S1635" s="17"/>
      <c r="T1635" s="12"/>
      <c r="U1635" s="12"/>
      <c r="V1635" s="17"/>
      <c r="W1635" s="38"/>
      <c r="X1635" s="12"/>
      <c r="Y1635" s="17"/>
    </row>
    <row r="1636" spans="19:25">
      <c r="S1636" s="17"/>
      <c r="T1636" s="12"/>
      <c r="U1636" s="12"/>
      <c r="V1636" s="17"/>
      <c r="W1636" s="38"/>
      <c r="X1636" s="12"/>
      <c r="Y1636" s="17"/>
    </row>
    <row r="1637" spans="19:25">
      <c r="S1637" s="17"/>
      <c r="T1637" s="12"/>
      <c r="U1637" s="12"/>
      <c r="V1637" s="17"/>
      <c r="W1637" s="38"/>
      <c r="X1637" s="12"/>
      <c r="Y1637" s="17"/>
    </row>
    <row r="1638" spans="19:25">
      <c r="S1638" s="17"/>
      <c r="T1638" s="12"/>
      <c r="U1638" s="12"/>
      <c r="V1638" s="17"/>
      <c r="W1638" s="38"/>
      <c r="X1638" s="12"/>
      <c r="Y1638" s="17"/>
    </row>
    <row r="1639" spans="19:25">
      <c r="S1639" s="17"/>
      <c r="T1639" s="12"/>
      <c r="U1639" s="12"/>
      <c r="V1639" s="17"/>
      <c r="W1639" s="38"/>
      <c r="X1639" s="12"/>
      <c r="Y1639" s="17"/>
    </row>
    <row r="1640" spans="19:25">
      <c r="S1640" s="17"/>
      <c r="T1640" s="12"/>
      <c r="U1640" s="12"/>
      <c r="V1640" s="17"/>
      <c r="W1640" s="38"/>
      <c r="X1640" s="12"/>
      <c r="Y1640" s="17"/>
    </row>
    <row r="1641" spans="19:25">
      <c r="S1641" s="17"/>
      <c r="T1641" s="12"/>
      <c r="U1641" s="12"/>
      <c r="V1641" s="17"/>
      <c r="W1641" s="38"/>
      <c r="X1641" s="12"/>
      <c r="Y1641" s="17"/>
    </row>
    <row r="1642" spans="19:25">
      <c r="S1642" s="17"/>
      <c r="T1642" s="12"/>
      <c r="U1642" s="12"/>
      <c r="V1642" s="17"/>
      <c r="W1642" s="38"/>
      <c r="X1642" s="12"/>
      <c r="Y1642" s="17"/>
    </row>
    <row r="1643" spans="19:25">
      <c r="S1643" s="17"/>
      <c r="T1643" s="12"/>
      <c r="U1643" s="12"/>
      <c r="V1643" s="17"/>
      <c r="W1643" s="38"/>
      <c r="X1643" s="12"/>
      <c r="Y1643" s="17"/>
    </row>
    <row r="1644" spans="19:25">
      <c r="S1644" s="17"/>
      <c r="T1644" s="12"/>
      <c r="U1644" s="12"/>
      <c r="V1644" s="17"/>
      <c r="W1644" s="38"/>
      <c r="X1644" s="12"/>
      <c r="Y1644" s="17"/>
    </row>
    <row r="1645" spans="19:25">
      <c r="S1645" s="17"/>
      <c r="T1645" s="12"/>
      <c r="U1645" s="12"/>
      <c r="V1645" s="17"/>
      <c r="W1645" s="38"/>
      <c r="X1645" s="12"/>
      <c r="Y1645" s="17"/>
    </row>
    <row r="1646" spans="19:25">
      <c r="S1646" s="17"/>
      <c r="T1646" s="12"/>
      <c r="U1646" s="12"/>
      <c r="V1646" s="17"/>
      <c r="W1646" s="38"/>
      <c r="X1646" s="12"/>
      <c r="Y1646" s="17"/>
    </row>
    <row r="1647" spans="19:25">
      <c r="S1647" s="17"/>
      <c r="T1647" s="12"/>
      <c r="U1647" s="12"/>
      <c r="V1647" s="17"/>
      <c r="W1647" s="38"/>
      <c r="X1647" s="12"/>
      <c r="Y1647" s="17"/>
    </row>
    <row r="1648" spans="19:25">
      <c r="S1648" s="17"/>
      <c r="T1648" s="12"/>
      <c r="U1648" s="12"/>
      <c r="V1648" s="17"/>
      <c r="W1648" s="38"/>
      <c r="X1648" s="12"/>
      <c r="Y1648" s="17"/>
    </row>
    <row r="1649" spans="19:25">
      <c r="S1649" s="17"/>
      <c r="T1649" s="12"/>
      <c r="U1649" s="12"/>
      <c r="V1649" s="17"/>
      <c r="W1649" s="38"/>
      <c r="X1649" s="12"/>
      <c r="Y1649" s="17"/>
    </row>
    <row r="1650" spans="19:25">
      <c r="S1650" s="17"/>
      <c r="T1650" s="12"/>
      <c r="U1650" s="12"/>
      <c r="V1650" s="17"/>
      <c r="W1650" s="38"/>
      <c r="X1650" s="12"/>
      <c r="Y1650" s="17"/>
    </row>
    <row r="1651" spans="19:25">
      <c r="S1651" s="17"/>
      <c r="T1651" s="12"/>
      <c r="U1651" s="12"/>
      <c r="V1651" s="17"/>
      <c r="W1651" s="38"/>
      <c r="X1651" s="12"/>
      <c r="Y1651" s="17"/>
    </row>
    <row r="1652" spans="19:25">
      <c r="S1652" s="17"/>
      <c r="T1652" s="12"/>
      <c r="U1652" s="12"/>
      <c r="V1652" s="17"/>
      <c r="W1652" s="38"/>
      <c r="X1652" s="12"/>
      <c r="Y1652" s="17"/>
    </row>
    <row r="1653" spans="19:25">
      <c r="S1653" s="17"/>
      <c r="T1653" s="12"/>
      <c r="U1653" s="12"/>
      <c r="V1653" s="17"/>
      <c r="W1653" s="38"/>
      <c r="X1653" s="12"/>
      <c r="Y1653" s="17"/>
    </row>
    <row r="1654" spans="19:25">
      <c r="S1654" s="17"/>
      <c r="T1654" s="12"/>
      <c r="U1654" s="12"/>
      <c r="V1654" s="17"/>
      <c r="W1654" s="38"/>
      <c r="X1654" s="12"/>
      <c r="Y1654" s="17"/>
    </row>
    <row r="1655" spans="19:25">
      <c r="S1655" s="17"/>
      <c r="T1655" s="12"/>
      <c r="U1655" s="12"/>
      <c r="V1655" s="17"/>
      <c r="W1655" s="38"/>
      <c r="X1655" s="12"/>
      <c r="Y1655" s="17"/>
    </row>
    <row r="1656" spans="19:25">
      <c r="S1656" s="17"/>
      <c r="T1656" s="12"/>
      <c r="U1656" s="12"/>
      <c r="V1656" s="17"/>
      <c r="W1656" s="38"/>
      <c r="X1656" s="12"/>
      <c r="Y1656" s="17"/>
    </row>
    <row r="1657" spans="19:25">
      <c r="S1657" s="17"/>
      <c r="T1657" s="12"/>
      <c r="U1657" s="12"/>
      <c r="V1657" s="17"/>
      <c r="W1657" s="38"/>
      <c r="X1657" s="12"/>
      <c r="Y1657" s="17"/>
    </row>
    <row r="1658" spans="19:25">
      <c r="S1658" s="17"/>
      <c r="T1658" s="12"/>
      <c r="U1658" s="12"/>
      <c r="V1658" s="17"/>
      <c r="W1658" s="38"/>
      <c r="X1658" s="12"/>
      <c r="Y1658" s="17"/>
    </row>
    <row r="1659" spans="19:25">
      <c r="S1659" s="17"/>
      <c r="T1659" s="12"/>
      <c r="U1659" s="12"/>
      <c r="V1659" s="17"/>
      <c r="W1659" s="38"/>
      <c r="X1659" s="12"/>
      <c r="Y1659" s="17"/>
    </row>
    <row r="1660" spans="19:25">
      <c r="S1660" s="17"/>
      <c r="T1660" s="12"/>
      <c r="U1660" s="12"/>
      <c r="V1660" s="17"/>
      <c r="W1660" s="38"/>
      <c r="X1660" s="12"/>
      <c r="Y1660" s="17"/>
    </row>
    <row r="1661" spans="19:25">
      <c r="S1661" s="17"/>
      <c r="T1661" s="12"/>
      <c r="U1661" s="12"/>
      <c r="V1661" s="17"/>
      <c r="W1661" s="38"/>
      <c r="X1661" s="12"/>
      <c r="Y1661" s="17"/>
    </row>
    <row r="1662" spans="19:25">
      <c r="S1662" s="17"/>
      <c r="T1662" s="12"/>
      <c r="U1662" s="12"/>
      <c r="V1662" s="17"/>
      <c r="W1662" s="38"/>
      <c r="X1662" s="12"/>
      <c r="Y1662" s="17"/>
    </row>
    <row r="1663" spans="19:25">
      <c r="S1663" s="17"/>
      <c r="T1663" s="12"/>
      <c r="U1663" s="12"/>
      <c r="V1663" s="17"/>
      <c r="W1663" s="38"/>
      <c r="X1663" s="12"/>
      <c r="Y1663" s="17"/>
    </row>
    <row r="1664" spans="19:25">
      <c r="S1664" s="17"/>
      <c r="T1664" s="12"/>
      <c r="U1664" s="12"/>
      <c r="V1664" s="17"/>
      <c r="W1664" s="38"/>
      <c r="X1664" s="12"/>
      <c r="Y1664" s="17"/>
    </row>
    <row r="1665" spans="19:25">
      <c r="S1665" s="17"/>
      <c r="T1665" s="12"/>
      <c r="U1665" s="12"/>
      <c r="V1665" s="17"/>
      <c r="W1665" s="38"/>
      <c r="X1665" s="12"/>
      <c r="Y1665" s="17"/>
    </row>
    <row r="1666" spans="19:25">
      <c r="S1666" s="17"/>
      <c r="T1666" s="12"/>
      <c r="U1666" s="12"/>
      <c r="V1666" s="17"/>
      <c r="W1666" s="38"/>
      <c r="X1666" s="12"/>
      <c r="Y1666" s="17"/>
    </row>
    <row r="1667" spans="19:25">
      <c r="S1667" s="17"/>
      <c r="T1667" s="12"/>
      <c r="U1667" s="12"/>
      <c r="V1667" s="17"/>
      <c r="W1667" s="38"/>
      <c r="X1667" s="12"/>
      <c r="Y1667" s="17"/>
    </row>
    <row r="1668" spans="19:25">
      <c r="S1668" s="17"/>
      <c r="T1668" s="12"/>
      <c r="U1668" s="12"/>
      <c r="V1668" s="17"/>
      <c r="W1668" s="38"/>
      <c r="X1668" s="12"/>
      <c r="Y1668" s="17"/>
    </row>
    <row r="1669" spans="19:25">
      <c r="S1669" s="17"/>
      <c r="T1669" s="12"/>
      <c r="U1669" s="12"/>
      <c r="V1669" s="17"/>
      <c r="W1669" s="38"/>
      <c r="X1669" s="12"/>
      <c r="Y1669" s="17"/>
    </row>
    <row r="1670" spans="19:25">
      <c r="S1670" s="17"/>
      <c r="T1670" s="12"/>
      <c r="U1670" s="12"/>
      <c r="V1670" s="17"/>
      <c r="W1670" s="38"/>
      <c r="X1670" s="12"/>
      <c r="Y1670" s="17"/>
    </row>
    <row r="1671" spans="19:25">
      <c r="S1671" s="17"/>
      <c r="T1671" s="12"/>
      <c r="U1671" s="12"/>
      <c r="V1671" s="17"/>
      <c r="W1671" s="38"/>
      <c r="X1671" s="12"/>
      <c r="Y1671" s="17"/>
    </row>
    <row r="1672" spans="19:25">
      <c r="S1672" s="17"/>
      <c r="T1672" s="12"/>
      <c r="U1672" s="12"/>
      <c r="V1672" s="17"/>
      <c r="W1672" s="38"/>
      <c r="X1672" s="12"/>
      <c r="Y1672" s="17"/>
    </row>
    <row r="1673" spans="19:25">
      <c r="S1673" s="17"/>
      <c r="T1673" s="12"/>
      <c r="U1673" s="12"/>
      <c r="V1673" s="17"/>
      <c r="W1673" s="38"/>
      <c r="X1673" s="12"/>
      <c r="Y1673" s="17"/>
    </row>
    <row r="1674" spans="19:25">
      <c r="S1674" s="17"/>
      <c r="T1674" s="12"/>
      <c r="U1674" s="12"/>
      <c r="V1674" s="17"/>
      <c r="W1674" s="38"/>
      <c r="X1674" s="12"/>
      <c r="Y1674" s="17"/>
    </row>
    <row r="1675" spans="19:25">
      <c r="S1675" s="17"/>
      <c r="T1675" s="12"/>
      <c r="U1675" s="12"/>
      <c r="V1675" s="17"/>
      <c r="W1675" s="38"/>
      <c r="X1675" s="12"/>
      <c r="Y1675" s="17"/>
    </row>
    <row r="1676" spans="19:25">
      <c r="S1676" s="17"/>
      <c r="T1676" s="12"/>
      <c r="U1676" s="12"/>
      <c r="V1676" s="17"/>
      <c r="W1676" s="38"/>
      <c r="X1676" s="12"/>
      <c r="Y1676" s="17"/>
    </row>
    <row r="1677" spans="19:25">
      <c r="S1677" s="17"/>
      <c r="T1677" s="12"/>
      <c r="U1677" s="12"/>
      <c r="V1677" s="17"/>
      <c r="W1677" s="38"/>
      <c r="X1677" s="12"/>
      <c r="Y1677" s="17"/>
    </row>
    <row r="1678" spans="19:25">
      <c r="S1678" s="17"/>
      <c r="T1678" s="12"/>
      <c r="U1678" s="12"/>
      <c r="V1678" s="17"/>
      <c r="W1678" s="38"/>
      <c r="X1678" s="12"/>
      <c r="Y1678" s="17"/>
    </row>
    <row r="1679" spans="19:25">
      <c r="S1679" s="17"/>
      <c r="T1679" s="12"/>
      <c r="U1679" s="12"/>
      <c r="V1679" s="17"/>
      <c r="W1679" s="38"/>
      <c r="X1679" s="12"/>
      <c r="Y1679" s="17"/>
    </row>
    <row r="1680" spans="19:25">
      <c r="S1680" s="17"/>
      <c r="T1680" s="12"/>
      <c r="U1680" s="12"/>
      <c r="V1680" s="17"/>
      <c r="W1680" s="38"/>
      <c r="X1680" s="12"/>
      <c r="Y1680" s="17"/>
    </row>
    <row r="1681" spans="19:25">
      <c r="S1681" s="17"/>
      <c r="T1681" s="12"/>
      <c r="U1681" s="12"/>
      <c r="V1681" s="17"/>
      <c r="W1681" s="38"/>
      <c r="X1681" s="12"/>
      <c r="Y1681" s="17"/>
    </row>
    <row r="1682" spans="19:25">
      <c r="S1682" s="17"/>
      <c r="T1682" s="12"/>
      <c r="U1682" s="12"/>
      <c r="V1682" s="17"/>
      <c r="W1682" s="38"/>
      <c r="X1682" s="12"/>
      <c r="Y1682" s="17"/>
    </row>
    <row r="1683" spans="19:25">
      <c r="S1683" s="17"/>
      <c r="T1683" s="12"/>
      <c r="U1683" s="12"/>
      <c r="V1683" s="17"/>
      <c r="W1683" s="38"/>
      <c r="X1683" s="12"/>
      <c r="Y1683" s="17"/>
    </row>
    <row r="1684" spans="19:25">
      <c r="S1684" s="17"/>
      <c r="T1684" s="12"/>
      <c r="U1684" s="12"/>
      <c r="V1684" s="17"/>
      <c r="W1684" s="38"/>
      <c r="X1684" s="12"/>
      <c r="Y1684" s="17"/>
    </row>
    <row r="1685" spans="19:25">
      <c r="S1685" s="17"/>
      <c r="T1685" s="12"/>
      <c r="U1685" s="12"/>
      <c r="V1685" s="17"/>
      <c r="W1685" s="38"/>
      <c r="X1685" s="12"/>
      <c r="Y1685" s="17"/>
    </row>
    <row r="1686" spans="19:25">
      <c r="S1686" s="17"/>
      <c r="T1686" s="12"/>
      <c r="U1686" s="12"/>
      <c r="V1686" s="17"/>
      <c r="W1686" s="38"/>
      <c r="X1686" s="12"/>
      <c r="Y1686" s="17"/>
    </row>
    <row r="1687" spans="19:25">
      <c r="S1687" s="17"/>
      <c r="T1687" s="12"/>
      <c r="U1687" s="12"/>
      <c r="V1687" s="17"/>
      <c r="W1687" s="38"/>
      <c r="X1687" s="12"/>
      <c r="Y1687" s="17"/>
    </row>
    <row r="1688" spans="19:25">
      <c r="S1688" s="17"/>
      <c r="T1688" s="12"/>
      <c r="U1688" s="12"/>
      <c r="V1688" s="17"/>
      <c r="W1688" s="38"/>
      <c r="X1688" s="12"/>
      <c r="Y1688" s="17"/>
    </row>
    <row r="1689" spans="19:25">
      <c r="S1689" s="17"/>
      <c r="T1689" s="12"/>
      <c r="U1689" s="12"/>
      <c r="V1689" s="17"/>
      <c r="W1689" s="38"/>
      <c r="X1689" s="12"/>
      <c r="Y1689" s="17"/>
    </row>
    <row r="1690" spans="19:25">
      <c r="S1690" s="17"/>
      <c r="T1690" s="12"/>
      <c r="U1690" s="12"/>
      <c r="V1690" s="17"/>
      <c r="W1690" s="38"/>
      <c r="X1690" s="12"/>
      <c r="Y1690" s="17"/>
    </row>
    <row r="1691" spans="19:25">
      <c r="S1691" s="17"/>
      <c r="T1691" s="12"/>
      <c r="U1691" s="12"/>
      <c r="V1691" s="17"/>
      <c r="W1691" s="38"/>
      <c r="X1691" s="12"/>
      <c r="Y1691" s="17"/>
    </row>
    <row r="1692" spans="19:25">
      <c r="S1692" s="17"/>
      <c r="T1692" s="12"/>
      <c r="U1692" s="12"/>
      <c r="V1692" s="17"/>
      <c r="W1692" s="38"/>
      <c r="X1692" s="12"/>
      <c r="Y1692" s="17"/>
    </row>
    <row r="1693" spans="19:25">
      <c r="S1693" s="17"/>
      <c r="T1693" s="12"/>
      <c r="U1693" s="12"/>
      <c r="V1693" s="17"/>
      <c r="W1693" s="38"/>
      <c r="X1693" s="12"/>
      <c r="Y1693" s="17"/>
    </row>
    <row r="1694" spans="19:25">
      <c r="S1694" s="17"/>
      <c r="T1694" s="12"/>
      <c r="U1694" s="12"/>
      <c r="V1694" s="17"/>
      <c r="W1694" s="38"/>
      <c r="X1694" s="12"/>
      <c r="Y1694" s="17"/>
    </row>
    <row r="1695" spans="19:25">
      <c r="S1695" s="17"/>
      <c r="T1695" s="12"/>
      <c r="U1695" s="12"/>
      <c r="V1695" s="17"/>
      <c r="W1695" s="38"/>
      <c r="X1695" s="12"/>
      <c r="Y1695" s="17"/>
    </row>
    <row r="1696" spans="19:25">
      <c r="S1696" s="17"/>
      <c r="T1696" s="12"/>
      <c r="U1696" s="12"/>
      <c r="V1696" s="17"/>
      <c r="W1696" s="38"/>
      <c r="X1696" s="12"/>
      <c r="Y1696" s="17"/>
    </row>
    <row r="1697" spans="19:25">
      <c r="S1697" s="17"/>
      <c r="T1697" s="12"/>
      <c r="U1697" s="12"/>
      <c r="V1697" s="17"/>
      <c r="W1697" s="38"/>
      <c r="X1697" s="12"/>
      <c r="Y1697" s="17"/>
    </row>
    <row r="1698" spans="19:25">
      <c r="S1698" s="17"/>
      <c r="T1698" s="12"/>
      <c r="U1698" s="12"/>
      <c r="V1698" s="17"/>
      <c r="W1698" s="38"/>
      <c r="X1698" s="12"/>
      <c r="Y1698" s="17"/>
    </row>
    <row r="1699" spans="19:25">
      <c r="S1699" s="17"/>
      <c r="T1699" s="12"/>
      <c r="U1699" s="12"/>
      <c r="V1699" s="17"/>
      <c r="W1699" s="38"/>
      <c r="X1699" s="12"/>
      <c r="Y1699" s="17"/>
    </row>
    <row r="1700" spans="19:25">
      <c r="S1700" s="17"/>
      <c r="T1700" s="12"/>
      <c r="U1700" s="12"/>
      <c r="V1700" s="17"/>
      <c r="W1700" s="38"/>
      <c r="X1700" s="12"/>
      <c r="Y1700" s="17"/>
    </row>
    <row r="1701" spans="19:25">
      <c r="S1701" s="17"/>
      <c r="T1701" s="12"/>
      <c r="U1701" s="12"/>
      <c r="V1701" s="17"/>
      <c r="W1701" s="38"/>
      <c r="X1701" s="12"/>
      <c r="Y1701" s="17"/>
    </row>
    <row r="1702" spans="19:25">
      <c r="S1702" s="17"/>
      <c r="T1702" s="12"/>
      <c r="U1702" s="12"/>
      <c r="V1702" s="17"/>
      <c r="W1702" s="38"/>
      <c r="X1702" s="12"/>
      <c r="Y1702" s="17"/>
    </row>
    <row r="1703" spans="19:25">
      <c r="S1703" s="17"/>
      <c r="T1703" s="12"/>
      <c r="U1703" s="12"/>
      <c r="V1703" s="17"/>
      <c r="W1703" s="38"/>
      <c r="X1703" s="12"/>
      <c r="Y1703" s="17"/>
    </row>
    <row r="1704" spans="19:25">
      <c r="S1704" s="17"/>
      <c r="T1704" s="12"/>
      <c r="U1704" s="12"/>
      <c r="V1704" s="17"/>
      <c r="W1704" s="38"/>
      <c r="X1704" s="12"/>
      <c r="Y1704" s="17"/>
    </row>
    <row r="1705" spans="19:25">
      <c r="S1705" s="17"/>
      <c r="T1705" s="12"/>
      <c r="U1705" s="12"/>
      <c r="V1705" s="17"/>
      <c r="W1705" s="38"/>
      <c r="X1705" s="12"/>
      <c r="Y1705" s="17"/>
    </row>
    <row r="1706" spans="19:25">
      <c r="S1706" s="17"/>
      <c r="T1706" s="12"/>
      <c r="U1706" s="12"/>
      <c r="V1706" s="17"/>
      <c r="W1706" s="38"/>
      <c r="X1706" s="12"/>
      <c r="Y1706" s="17"/>
    </row>
    <row r="1707" spans="19:25">
      <c r="S1707" s="17"/>
      <c r="T1707" s="12"/>
      <c r="U1707" s="12"/>
      <c r="V1707" s="17"/>
      <c r="W1707" s="38"/>
      <c r="X1707" s="12"/>
      <c r="Y1707" s="17"/>
    </row>
    <row r="1708" spans="19:25">
      <c r="S1708" s="17"/>
      <c r="T1708" s="12"/>
      <c r="U1708" s="12"/>
      <c r="V1708" s="17"/>
      <c r="W1708" s="38"/>
      <c r="X1708" s="12"/>
      <c r="Y1708" s="17"/>
    </row>
    <row r="1709" spans="19:25">
      <c r="S1709" s="17"/>
      <c r="T1709" s="12"/>
      <c r="U1709" s="12"/>
      <c r="V1709" s="17"/>
      <c r="W1709" s="38"/>
      <c r="X1709" s="12"/>
      <c r="Y1709" s="17"/>
    </row>
    <row r="1710" spans="19:25">
      <c r="S1710" s="17"/>
      <c r="T1710" s="12"/>
      <c r="U1710" s="12"/>
      <c r="V1710" s="17"/>
      <c r="W1710" s="38"/>
      <c r="X1710" s="12"/>
      <c r="Y1710" s="17"/>
    </row>
    <row r="1711" spans="19:25">
      <c r="S1711" s="17"/>
      <c r="T1711" s="12"/>
      <c r="U1711" s="12"/>
      <c r="V1711" s="17"/>
      <c r="W1711" s="38"/>
      <c r="X1711" s="12"/>
      <c r="Y1711" s="17"/>
    </row>
    <row r="1712" spans="19:25">
      <c r="S1712" s="17"/>
      <c r="T1712" s="12"/>
      <c r="U1712" s="12"/>
      <c r="V1712" s="17"/>
      <c r="W1712" s="38"/>
      <c r="X1712" s="12"/>
      <c r="Y1712" s="17"/>
    </row>
    <row r="1713" spans="19:25">
      <c r="S1713" s="17"/>
      <c r="T1713" s="12"/>
      <c r="U1713" s="12"/>
      <c r="V1713" s="17"/>
      <c r="W1713" s="38"/>
      <c r="X1713" s="12"/>
      <c r="Y1713" s="17"/>
    </row>
    <row r="1714" spans="19:25">
      <c r="S1714" s="17"/>
      <c r="T1714" s="12"/>
      <c r="U1714" s="12"/>
      <c r="V1714" s="17"/>
      <c r="W1714" s="38"/>
      <c r="X1714" s="12"/>
      <c r="Y1714" s="17"/>
    </row>
    <row r="1715" spans="19:25">
      <c r="S1715" s="17"/>
      <c r="T1715" s="12"/>
      <c r="U1715" s="12"/>
      <c r="V1715" s="17"/>
      <c r="W1715" s="38"/>
      <c r="X1715" s="12"/>
      <c r="Y1715" s="17"/>
    </row>
    <row r="1716" spans="19:25">
      <c r="S1716" s="17"/>
      <c r="T1716" s="12"/>
      <c r="U1716" s="12"/>
      <c r="V1716" s="17"/>
      <c r="W1716" s="38"/>
      <c r="X1716" s="12"/>
      <c r="Y1716" s="17"/>
    </row>
    <row r="1717" spans="19:25">
      <c r="S1717" s="17"/>
      <c r="T1717" s="12"/>
      <c r="U1717" s="12"/>
      <c r="V1717" s="17"/>
      <c r="W1717" s="38"/>
      <c r="X1717" s="12"/>
      <c r="Y1717" s="17"/>
    </row>
    <row r="1718" spans="19:25">
      <c r="S1718" s="17"/>
      <c r="T1718" s="12"/>
      <c r="U1718" s="12"/>
      <c r="V1718" s="17"/>
      <c r="W1718" s="38"/>
      <c r="X1718" s="12"/>
      <c r="Y1718" s="17"/>
    </row>
    <row r="1719" spans="19:25">
      <c r="S1719" s="17"/>
      <c r="T1719" s="12"/>
      <c r="U1719" s="12"/>
      <c r="V1719" s="17"/>
      <c r="W1719" s="38"/>
      <c r="X1719" s="12"/>
      <c r="Y1719" s="17"/>
    </row>
    <row r="1720" spans="19:25">
      <c r="S1720" s="17"/>
      <c r="T1720" s="12"/>
      <c r="U1720" s="12"/>
      <c r="V1720" s="17"/>
      <c r="W1720" s="38"/>
      <c r="X1720" s="12"/>
      <c r="Y1720" s="17"/>
    </row>
    <row r="1721" spans="19:25">
      <c r="S1721" s="17"/>
      <c r="T1721" s="12"/>
      <c r="U1721" s="12"/>
      <c r="V1721" s="17"/>
      <c r="W1721" s="38"/>
      <c r="X1721" s="12"/>
      <c r="Y1721" s="17"/>
    </row>
    <row r="1722" spans="19:25">
      <c r="S1722" s="17"/>
      <c r="T1722" s="12"/>
      <c r="U1722" s="12"/>
      <c r="V1722" s="17"/>
      <c r="W1722" s="38"/>
      <c r="X1722" s="12"/>
      <c r="Y1722" s="17"/>
    </row>
    <row r="1723" spans="19:25">
      <c r="S1723" s="17"/>
      <c r="T1723" s="12"/>
      <c r="U1723" s="12"/>
      <c r="V1723" s="17"/>
      <c r="W1723" s="38"/>
      <c r="X1723" s="12"/>
      <c r="Y1723" s="17"/>
    </row>
    <row r="1724" spans="19:25">
      <c r="S1724" s="17"/>
      <c r="T1724" s="12"/>
      <c r="U1724" s="12"/>
      <c r="V1724" s="17"/>
      <c r="W1724" s="38"/>
      <c r="X1724" s="12"/>
      <c r="Y1724" s="17"/>
    </row>
    <row r="1725" spans="19:25">
      <c r="S1725" s="17"/>
      <c r="T1725" s="12"/>
      <c r="U1725" s="12"/>
      <c r="V1725" s="17"/>
      <c r="W1725" s="38"/>
      <c r="X1725" s="12"/>
      <c r="Y1725" s="17"/>
    </row>
    <row r="1726" spans="19:25">
      <c r="S1726" s="17"/>
      <c r="T1726" s="12"/>
      <c r="U1726" s="12"/>
      <c r="V1726" s="17"/>
      <c r="W1726" s="38"/>
      <c r="X1726" s="12"/>
      <c r="Y1726" s="17"/>
    </row>
    <row r="1727" spans="19:25">
      <c r="S1727" s="17"/>
      <c r="T1727" s="12"/>
      <c r="U1727" s="12"/>
      <c r="V1727" s="17"/>
      <c r="W1727" s="38"/>
      <c r="X1727" s="12"/>
      <c r="Y1727" s="17"/>
    </row>
    <row r="1728" spans="19:25">
      <c r="S1728" s="17"/>
      <c r="T1728" s="12"/>
      <c r="U1728" s="12"/>
      <c r="V1728" s="17"/>
      <c r="W1728" s="38"/>
      <c r="X1728" s="12"/>
      <c r="Y1728" s="17"/>
    </row>
    <row r="1729" spans="19:25">
      <c r="S1729" s="17"/>
      <c r="T1729" s="12"/>
      <c r="U1729" s="12"/>
      <c r="V1729" s="17"/>
      <c r="W1729" s="38"/>
      <c r="X1729" s="12"/>
      <c r="Y1729" s="17"/>
    </row>
    <row r="1730" spans="19:25">
      <c r="S1730" s="17"/>
      <c r="T1730" s="12"/>
      <c r="U1730" s="12"/>
      <c r="V1730" s="17"/>
      <c r="W1730" s="38"/>
      <c r="X1730" s="12"/>
      <c r="Y1730" s="17"/>
    </row>
    <row r="1731" spans="19:25">
      <c r="S1731" s="17"/>
      <c r="T1731" s="12"/>
      <c r="U1731" s="12"/>
      <c r="V1731" s="17"/>
      <c r="W1731" s="38"/>
      <c r="X1731" s="12"/>
      <c r="Y1731" s="17"/>
    </row>
    <row r="1732" spans="19:25">
      <c r="S1732" s="17"/>
      <c r="T1732" s="12"/>
      <c r="U1732" s="12"/>
      <c r="V1732" s="17"/>
      <c r="W1732" s="38"/>
      <c r="X1732" s="12"/>
      <c r="Y1732" s="17"/>
    </row>
    <row r="1733" spans="19:25">
      <c r="S1733" s="17"/>
      <c r="T1733" s="12"/>
      <c r="U1733" s="12"/>
      <c r="V1733" s="17"/>
      <c r="W1733" s="38"/>
      <c r="X1733" s="12"/>
      <c r="Y1733" s="17"/>
    </row>
    <row r="1734" spans="19:25">
      <c r="S1734" s="17"/>
      <c r="T1734" s="12"/>
      <c r="U1734" s="12"/>
      <c r="V1734" s="17"/>
      <c r="W1734" s="38"/>
      <c r="X1734" s="12"/>
      <c r="Y1734" s="17"/>
    </row>
    <row r="1735" spans="19:25">
      <c r="S1735" s="17"/>
      <c r="T1735" s="12"/>
      <c r="U1735" s="12"/>
      <c r="V1735" s="17"/>
      <c r="W1735" s="38"/>
      <c r="X1735" s="12"/>
      <c r="Y1735" s="17"/>
    </row>
    <row r="1736" spans="19:25">
      <c r="S1736" s="17"/>
      <c r="T1736" s="12"/>
      <c r="U1736" s="12"/>
      <c r="V1736" s="17"/>
      <c r="W1736" s="38"/>
      <c r="X1736" s="12"/>
      <c r="Y1736" s="17"/>
    </row>
    <row r="1737" spans="19:25">
      <c r="S1737" s="17"/>
      <c r="T1737" s="12"/>
      <c r="U1737" s="12"/>
      <c r="V1737" s="17"/>
      <c r="W1737" s="38"/>
      <c r="X1737" s="12"/>
      <c r="Y1737" s="17"/>
    </row>
    <row r="1738" spans="19:25">
      <c r="S1738" s="17"/>
      <c r="T1738" s="12"/>
      <c r="U1738" s="12"/>
      <c r="V1738" s="17"/>
      <c r="W1738" s="38"/>
      <c r="X1738" s="12"/>
      <c r="Y1738" s="17"/>
    </row>
    <row r="1739" spans="19:25">
      <c r="S1739" s="17"/>
      <c r="T1739" s="12"/>
      <c r="U1739" s="12"/>
      <c r="V1739" s="17"/>
      <c r="W1739" s="38"/>
      <c r="X1739" s="12"/>
      <c r="Y1739" s="17"/>
    </row>
    <row r="1740" spans="19:25">
      <c r="S1740" s="17"/>
      <c r="T1740" s="12"/>
      <c r="U1740" s="12"/>
      <c r="V1740" s="17"/>
      <c r="W1740" s="38"/>
      <c r="X1740" s="12"/>
      <c r="Y1740" s="17"/>
    </row>
    <row r="1741" spans="19:25">
      <c r="S1741" s="17"/>
      <c r="T1741" s="12"/>
      <c r="U1741" s="12"/>
      <c r="V1741" s="17"/>
      <c r="W1741" s="38"/>
      <c r="X1741" s="12"/>
      <c r="Y1741" s="17"/>
    </row>
    <row r="1742" spans="19:25">
      <c r="S1742" s="17"/>
      <c r="T1742" s="12"/>
      <c r="U1742" s="12"/>
      <c r="V1742" s="17"/>
      <c r="W1742" s="38"/>
      <c r="X1742" s="12"/>
      <c r="Y1742" s="17"/>
    </row>
    <row r="1743" spans="19:25">
      <c r="S1743" s="17"/>
      <c r="T1743" s="12"/>
      <c r="U1743" s="12"/>
      <c r="V1743" s="17"/>
      <c r="W1743" s="38"/>
      <c r="X1743" s="12"/>
      <c r="Y1743" s="17"/>
    </row>
    <row r="1744" spans="19:25">
      <c r="S1744" s="17"/>
      <c r="T1744" s="12"/>
      <c r="U1744" s="12"/>
      <c r="V1744" s="17"/>
      <c r="W1744" s="38"/>
      <c r="X1744" s="12"/>
      <c r="Y1744" s="17"/>
    </row>
    <row r="1745" spans="19:25">
      <c r="S1745" s="17"/>
      <c r="T1745" s="12"/>
      <c r="U1745" s="12"/>
      <c r="V1745" s="17"/>
      <c r="W1745" s="38"/>
      <c r="X1745" s="12"/>
      <c r="Y1745" s="17"/>
    </row>
    <row r="1746" spans="19:25">
      <c r="S1746" s="17"/>
      <c r="T1746" s="12"/>
      <c r="U1746" s="12"/>
      <c r="V1746" s="17"/>
      <c r="W1746" s="38"/>
      <c r="X1746" s="12"/>
      <c r="Y1746" s="17"/>
    </row>
    <row r="1747" spans="19:25">
      <c r="S1747" s="17"/>
      <c r="T1747" s="12"/>
      <c r="U1747" s="12"/>
      <c r="V1747" s="17"/>
      <c r="W1747" s="38"/>
      <c r="X1747" s="12"/>
      <c r="Y1747" s="17"/>
    </row>
    <row r="1748" spans="19:25">
      <c r="S1748" s="17"/>
      <c r="T1748" s="12"/>
      <c r="U1748" s="12"/>
      <c r="V1748" s="17"/>
      <c r="W1748" s="38"/>
      <c r="X1748" s="12"/>
      <c r="Y1748" s="17"/>
    </row>
    <row r="1749" spans="19:25">
      <c r="S1749" s="17"/>
      <c r="T1749" s="12"/>
      <c r="U1749" s="12"/>
      <c r="V1749" s="17"/>
      <c r="W1749" s="38"/>
      <c r="X1749" s="12"/>
      <c r="Y1749" s="17"/>
    </row>
    <row r="1750" spans="19:25">
      <c r="S1750" s="17"/>
      <c r="T1750" s="12"/>
      <c r="U1750" s="12"/>
      <c r="V1750" s="17"/>
      <c r="W1750" s="38"/>
      <c r="X1750" s="12"/>
      <c r="Y1750" s="17"/>
    </row>
    <row r="1751" spans="19:25">
      <c r="S1751" s="17"/>
      <c r="T1751" s="12"/>
      <c r="U1751" s="12"/>
      <c r="V1751" s="17"/>
      <c r="W1751" s="38"/>
      <c r="X1751" s="12"/>
      <c r="Y1751" s="17"/>
    </row>
    <row r="1752" spans="19:25">
      <c r="S1752" s="17"/>
      <c r="T1752" s="12"/>
      <c r="U1752" s="12"/>
      <c r="V1752" s="17"/>
      <c r="W1752" s="38"/>
      <c r="X1752" s="12"/>
      <c r="Y1752" s="17"/>
    </row>
    <row r="1753" spans="19:25">
      <c r="S1753" s="17"/>
      <c r="T1753" s="12"/>
      <c r="U1753" s="12"/>
      <c r="V1753" s="17"/>
      <c r="W1753" s="38"/>
      <c r="X1753" s="12"/>
      <c r="Y1753" s="17"/>
    </row>
    <row r="1754" spans="19:25">
      <c r="S1754" s="17"/>
      <c r="T1754" s="12"/>
      <c r="U1754" s="12"/>
      <c r="V1754" s="17"/>
      <c r="W1754" s="38"/>
      <c r="X1754" s="12"/>
      <c r="Y1754" s="17"/>
    </row>
    <row r="1755" spans="19:25">
      <c r="S1755" s="17"/>
      <c r="T1755" s="12"/>
      <c r="U1755" s="12"/>
      <c r="V1755" s="17"/>
      <c r="W1755" s="38"/>
      <c r="X1755" s="12"/>
      <c r="Y1755" s="17"/>
    </row>
    <row r="1756" spans="19:25">
      <c r="S1756" s="17"/>
      <c r="T1756" s="12"/>
      <c r="U1756" s="12"/>
      <c r="V1756" s="17"/>
      <c r="W1756" s="38"/>
      <c r="X1756" s="12"/>
      <c r="Y1756" s="17"/>
    </row>
    <row r="1757" spans="19:25">
      <c r="S1757" s="17"/>
      <c r="T1757" s="12"/>
      <c r="U1757" s="12"/>
      <c r="V1757" s="17"/>
      <c r="W1757" s="38"/>
      <c r="X1757" s="12"/>
      <c r="Y1757" s="17"/>
    </row>
    <row r="1758" spans="19:25">
      <c r="S1758" s="17"/>
      <c r="T1758" s="12"/>
      <c r="U1758" s="12"/>
      <c r="V1758" s="17"/>
      <c r="W1758" s="38"/>
      <c r="X1758" s="12"/>
      <c r="Y1758" s="17"/>
    </row>
    <row r="1759" spans="19:25">
      <c r="S1759" s="17"/>
      <c r="T1759" s="12"/>
      <c r="U1759" s="12"/>
      <c r="V1759" s="17"/>
      <c r="W1759" s="38"/>
      <c r="X1759" s="12"/>
      <c r="Y1759" s="17"/>
    </row>
    <row r="1760" spans="19:25">
      <c r="S1760" s="17"/>
      <c r="T1760" s="12"/>
      <c r="U1760" s="12"/>
      <c r="V1760" s="17"/>
      <c r="W1760" s="38"/>
      <c r="X1760" s="12"/>
      <c r="Y1760" s="17"/>
    </row>
    <row r="1761" spans="19:25">
      <c r="S1761" s="17"/>
      <c r="T1761" s="12"/>
      <c r="U1761" s="12"/>
      <c r="V1761" s="17"/>
      <c r="W1761" s="38"/>
      <c r="X1761" s="12"/>
      <c r="Y1761" s="17"/>
    </row>
    <row r="1762" spans="19:25">
      <c r="S1762" s="17"/>
      <c r="T1762" s="12"/>
      <c r="U1762" s="12"/>
      <c r="V1762" s="17"/>
      <c r="W1762" s="38"/>
      <c r="X1762" s="12"/>
      <c r="Y1762" s="17"/>
    </row>
    <row r="1763" spans="19:25">
      <c r="S1763" s="17"/>
      <c r="T1763" s="12"/>
      <c r="U1763" s="12"/>
      <c r="V1763" s="17"/>
      <c r="W1763" s="38"/>
      <c r="X1763" s="12"/>
      <c r="Y1763" s="17"/>
    </row>
    <row r="1764" spans="19:25">
      <c r="S1764" s="17"/>
      <c r="T1764" s="12"/>
      <c r="U1764" s="12"/>
      <c r="V1764" s="17"/>
      <c r="W1764" s="38"/>
      <c r="X1764" s="12"/>
      <c r="Y1764" s="17"/>
    </row>
    <row r="1765" spans="19:25">
      <c r="S1765" s="17"/>
      <c r="T1765" s="12"/>
      <c r="U1765" s="12"/>
      <c r="V1765" s="17"/>
      <c r="W1765" s="38"/>
      <c r="X1765" s="12"/>
      <c r="Y1765" s="17"/>
    </row>
    <row r="1766" spans="19:25">
      <c r="S1766" s="17"/>
      <c r="T1766" s="12"/>
      <c r="U1766" s="12"/>
      <c r="V1766" s="17"/>
      <c r="W1766" s="38"/>
      <c r="X1766" s="12"/>
      <c r="Y1766" s="17"/>
    </row>
    <row r="1767" spans="19:25">
      <c r="S1767" s="17"/>
      <c r="T1767" s="12"/>
      <c r="U1767" s="12"/>
      <c r="V1767" s="17"/>
      <c r="W1767" s="38"/>
      <c r="X1767" s="12"/>
      <c r="Y1767" s="17"/>
    </row>
    <row r="1768" spans="19:25">
      <c r="S1768" s="17"/>
      <c r="T1768" s="12"/>
      <c r="U1768" s="12"/>
      <c r="V1768" s="17"/>
      <c r="W1768" s="38"/>
      <c r="X1768" s="12"/>
      <c r="Y1768" s="17"/>
    </row>
    <row r="1769" spans="19:25">
      <c r="S1769" s="17"/>
      <c r="T1769" s="12"/>
      <c r="U1769" s="12"/>
      <c r="V1769" s="17"/>
      <c r="W1769" s="38"/>
      <c r="X1769" s="12"/>
      <c r="Y1769" s="17"/>
    </row>
    <row r="1770" spans="19:25">
      <c r="S1770" s="17"/>
      <c r="T1770" s="12"/>
      <c r="U1770" s="12"/>
      <c r="V1770" s="17"/>
      <c r="W1770" s="38"/>
      <c r="X1770" s="12"/>
      <c r="Y1770" s="17"/>
    </row>
    <row r="1771" spans="19:25">
      <c r="S1771" s="17"/>
      <c r="T1771" s="12"/>
      <c r="U1771" s="12"/>
      <c r="V1771" s="17"/>
      <c r="W1771" s="38"/>
      <c r="X1771" s="12"/>
      <c r="Y1771" s="17"/>
    </row>
    <row r="1772" spans="19:25">
      <c r="S1772" s="17"/>
      <c r="T1772" s="12"/>
      <c r="U1772" s="12"/>
      <c r="V1772" s="17"/>
      <c r="W1772" s="38"/>
      <c r="X1772" s="12"/>
      <c r="Y1772" s="17"/>
    </row>
    <row r="1773" spans="19:25">
      <c r="S1773" s="17"/>
      <c r="T1773" s="12"/>
      <c r="U1773" s="12"/>
      <c r="V1773" s="17"/>
      <c r="W1773" s="38"/>
      <c r="X1773" s="12"/>
      <c r="Y1773" s="17"/>
    </row>
    <row r="1774" spans="19:25">
      <c r="S1774" s="17"/>
      <c r="T1774" s="12"/>
      <c r="U1774" s="12"/>
      <c r="V1774" s="17"/>
      <c r="W1774" s="38"/>
      <c r="X1774" s="12"/>
      <c r="Y1774" s="17"/>
    </row>
    <row r="1775" spans="19:25">
      <c r="S1775" s="17"/>
      <c r="T1775" s="12"/>
      <c r="U1775" s="12"/>
      <c r="V1775" s="17"/>
      <c r="W1775" s="38"/>
      <c r="X1775" s="12"/>
      <c r="Y1775" s="17"/>
    </row>
    <row r="1776" spans="19:25">
      <c r="S1776" s="17"/>
      <c r="T1776" s="12"/>
      <c r="U1776" s="12"/>
      <c r="V1776" s="17"/>
      <c r="W1776" s="38"/>
      <c r="X1776" s="12"/>
      <c r="Y1776" s="17"/>
    </row>
    <row r="1777" spans="19:25">
      <c r="S1777" s="17"/>
      <c r="T1777" s="12"/>
      <c r="U1777" s="12"/>
      <c r="V1777" s="17"/>
      <c r="W1777" s="38"/>
      <c r="X1777" s="12"/>
      <c r="Y1777" s="17"/>
    </row>
    <row r="1778" spans="19:25">
      <c r="S1778" s="17"/>
      <c r="T1778" s="12"/>
      <c r="U1778" s="12"/>
      <c r="V1778" s="17"/>
      <c r="W1778" s="38"/>
      <c r="X1778" s="12"/>
      <c r="Y1778" s="17"/>
    </row>
    <row r="1779" spans="19:25">
      <c r="S1779" s="17"/>
      <c r="T1779" s="12"/>
      <c r="U1779" s="12"/>
      <c r="V1779" s="17"/>
      <c r="W1779" s="38"/>
      <c r="X1779" s="12"/>
      <c r="Y1779" s="17"/>
    </row>
    <row r="1780" spans="19:25">
      <c r="S1780" s="17"/>
      <c r="T1780" s="12"/>
      <c r="U1780" s="12"/>
      <c r="V1780" s="17"/>
      <c r="W1780" s="38"/>
      <c r="X1780" s="12"/>
      <c r="Y1780" s="17"/>
    </row>
    <row r="1781" spans="19:25">
      <c r="S1781" s="17"/>
      <c r="T1781" s="12"/>
      <c r="U1781" s="12"/>
      <c r="V1781" s="17"/>
      <c r="W1781" s="38"/>
      <c r="X1781" s="12"/>
      <c r="Y1781" s="17"/>
    </row>
    <row r="1782" spans="19:25">
      <c r="S1782" s="17"/>
      <c r="T1782" s="12"/>
      <c r="U1782" s="12"/>
      <c r="V1782" s="17"/>
      <c r="W1782" s="38"/>
      <c r="X1782" s="12"/>
      <c r="Y1782" s="17"/>
    </row>
    <row r="1783" spans="19:25">
      <c r="S1783" s="17"/>
      <c r="T1783" s="12"/>
      <c r="U1783" s="12"/>
      <c r="V1783" s="17"/>
      <c r="W1783" s="38"/>
      <c r="X1783" s="12"/>
      <c r="Y1783" s="17"/>
    </row>
    <row r="1784" spans="19:25">
      <c r="S1784" s="17"/>
      <c r="T1784" s="12"/>
      <c r="U1784" s="12"/>
      <c r="V1784" s="17"/>
      <c r="W1784" s="38"/>
      <c r="X1784" s="12"/>
      <c r="Y1784" s="17"/>
    </row>
    <row r="1785" spans="19:25">
      <c r="S1785" s="17"/>
      <c r="T1785" s="12"/>
      <c r="U1785" s="12"/>
      <c r="V1785" s="17"/>
      <c r="W1785" s="38"/>
      <c r="X1785" s="12"/>
      <c r="Y1785" s="17"/>
    </row>
    <row r="1786" spans="19:25">
      <c r="S1786" s="17"/>
      <c r="T1786" s="12"/>
      <c r="U1786" s="12"/>
      <c r="V1786" s="17"/>
      <c r="W1786" s="38"/>
      <c r="X1786" s="12"/>
      <c r="Y1786" s="17"/>
    </row>
    <row r="1787" spans="19:25">
      <c r="S1787" s="17"/>
      <c r="T1787" s="12"/>
      <c r="U1787" s="12"/>
      <c r="V1787" s="17"/>
      <c r="W1787" s="38"/>
      <c r="X1787" s="12"/>
      <c r="Y1787" s="17"/>
    </row>
    <row r="1788" spans="19:25">
      <c r="S1788" s="17"/>
      <c r="T1788" s="12"/>
      <c r="U1788" s="12"/>
      <c r="V1788" s="17"/>
      <c r="W1788" s="38"/>
      <c r="X1788" s="12"/>
      <c r="Y1788" s="17"/>
    </row>
    <row r="1789" spans="19:25">
      <c r="S1789" s="17"/>
      <c r="T1789" s="12"/>
      <c r="U1789" s="12"/>
      <c r="V1789" s="17"/>
      <c r="W1789" s="38"/>
      <c r="X1789" s="12"/>
      <c r="Y1789" s="17"/>
    </row>
    <row r="1790" spans="19:25">
      <c r="S1790" s="17"/>
      <c r="T1790" s="12"/>
      <c r="U1790" s="12"/>
      <c r="V1790" s="17"/>
      <c r="W1790" s="38"/>
      <c r="X1790" s="12"/>
      <c r="Y1790" s="17"/>
    </row>
    <row r="1791" spans="19:25">
      <c r="S1791" s="17"/>
      <c r="T1791" s="12"/>
      <c r="U1791" s="12"/>
      <c r="V1791" s="17"/>
      <c r="W1791" s="38"/>
      <c r="X1791" s="12"/>
      <c r="Y1791" s="17"/>
    </row>
    <row r="1792" spans="19:25">
      <c r="S1792" s="17"/>
      <c r="T1792" s="12"/>
      <c r="U1792" s="12"/>
      <c r="V1792" s="17"/>
      <c r="W1792" s="38"/>
      <c r="X1792" s="12"/>
      <c r="Y1792" s="17"/>
    </row>
    <row r="1793" spans="19:25">
      <c r="S1793" s="17"/>
      <c r="T1793" s="12"/>
      <c r="U1793" s="12"/>
      <c r="V1793" s="17"/>
      <c r="W1793" s="38"/>
      <c r="X1793" s="12"/>
      <c r="Y1793" s="17"/>
    </row>
    <row r="1794" spans="19:25">
      <c r="S1794" s="17"/>
      <c r="T1794" s="12"/>
      <c r="U1794" s="12"/>
      <c r="V1794" s="17"/>
      <c r="W1794" s="38"/>
      <c r="X1794" s="12"/>
      <c r="Y1794" s="17"/>
    </row>
    <row r="1795" spans="19:25">
      <c r="S1795" s="17"/>
      <c r="T1795" s="12"/>
      <c r="U1795" s="12"/>
      <c r="V1795" s="17"/>
      <c r="W1795" s="38"/>
      <c r="X1795" s="12"/>
      <c r="Y1795" s="17"/>
    </row>
    <row r="1796" spans="19:25">
      <c r="S1796" s="17"/>
      <c r="T1796" s="12"/>
      <c r="U1796" s="12"/>
      <c r="V1796" s="17"/>
      <c r="W1796" s="38"/>
      <c r="X1796" s="12"/>
      <c r="Y1796" s="17"/>
    </row>
    <row r="1797" spans="19:25">
      <c r="S1797" s="17"/>
      <c r="T1797" s="12"/>
      <c r="U1797" s="12"/>
      <c r="V1797" s="17"/>
      <c r="W1797" s="38"/>
      <c r="X1797" s="12"/>
      <c r="Y1797" s="17"/>
    </row>
    <row r="1798" spans="19:25">
      <c r="S1798" s="17"/>
      <c r="T1798" s="12"/>
      <c r="U1798" s="12"/>
      <c r="V1798" s="17"/>
      <c r="W1798" s="38"/>
      <c r="X1798" s="12"/>
      <c r="Y1798" s="17"/>
    </row>
    <row r="1799" spans="19:25">
      <c r="S1799" s="17"/>
      <c r="T1799" s="12"/>
      <c r="U1799" s="12"/>
      <c r="V1799" s="17"/>
      <c r="W1799" s="38"/>
      <c r="X1799" s="12"/>
      <c r="Y1799" s="17"/>
    </row>
    <row r="1800" spans="19:25">
      <c r="S1800" s="17"/>
      <c r="T1800" s="12"/>
      <c r="U1800" s="12"/>
      <c r="V1800" s="17"/>
      <c r="W1800" s="38"/>
      <c r="X1800" s="12"/>
      <c r="Y1800" s="17"/>
    </row>
    <row r="1801" spans="19:25">
      <c r="S1801" s="17"/>
      <c r="T1801" s="12"/>
      <c r="U1801" s="12"/>
      <c r="V1801" s="17"/>
      <c r="W1801" s="38"/>
      <c r="X1801" s="12"/>
      <c r="Y1801" s="17"/>
    </row>
    <row r="1802" spans="19:25">
      <c r="S1802" s="17"/>
      <c r="T1802" s="12"/>
      <c r="U1802" s="12"/>
      <c r="V1802" s="17"/>
      <c r="W1802" s="38"/>
      <c r="X1802" s="12"/>
      <c r="Y1802" s="17"/>
    </row>
    <row r="1803" spans="19:25">
      <c r="S1803" s="17"/>
      <c r="T1803" s="12"/>
      <c r="U1803" s="12"/>
      <c r="V1803" s="17"/>
      <c r="W1803" s="38"/>
      <c r="X1803" s="12"/>
      <c r="Y1803" s="17"/>
    </row>
    <row r="1804" spans="19:25">
      <c r="S1804" s="17"/>
      <c r="T1804" s="12"/>
      <c r="U1804" s="12"/>
      <c r="V1804" s="17"/>
      <c r="W1804" s="38"/>
      <c r="X1804" s="12"/>
      <c r="Y1804" s="17"/>
    </row>
    <row r="1805" spans="19:25">
      <c r="S1805" s="17"/>
      <c r="T1805" s="12"/>
      <c r="U1805" s="12"/>
      <c r="V1805" s="17"/>
      <c r="W1805" s="38"/>
      <c r="X1805" s="12"/>
      <c r="Y1805" s="17"/>
    </row>
    <row r="1806" spans="19:25">
      <c r="S1806" s="17"/>
      <c r="T1806" s="12"/>
      <c r="U1806" s="12"/>
      <c r="V1806" s="17"/>
      <c r="W1806" s="38"/>
      <c r="X1806" s="12"/>
      <c r="Y1806" s="17"/>
    </row>
    <row r="1807" spans="19:25">
      <c r="S1807" s="17"/>
      <c r="T1807" s="12"/>
      <c r="U1807" s="12"/>
      <c r="V1807" s="17"/>
      <c r="W1807" s="38"/>
      <c r="X1807" s="12"/>
      <c r="Y1807" s="17"/>
    </row>
    <row r="1808" spans="19:25">
      <c r="S1808" s="17"/>
      <c r="T1808" s="12"/>
      <c r="U1808" s="12"/>
      <c r="V1808" s="17"/>
      <c r="W1808" s="38"/>
      <c r="X1808" s="12"/>
      <c r="Y1808" s="17"/>
    </row>
    <row r="1809" spans="19:25">
      <c r="S1809" s="17"/>
      <c r="T1809" s="12"/>
      <c r="U1809" s="12"/>
      <c r="V1809" s="17"/>
      <c r="W1809" s="38"/>
      <c r="X1809" s="12"/>
      <c r="Y1809" s="17"/>
    </row>
    <row r="1810" spans="19:25">
      <c r="S1810" s="17"/>
      <c r="T1810" s="12"/>
      <c r="U1810" s="12"/>
      <c r="V1810" s="17"/>
      <c r="W1810" s="38"/>
      <c r="X1810" s="12"/>
      <c r="Y1810" s="17"/>
    </row>
    <row r="1811" spans="19:25">
      <c r="S1811" s="17"/>
      <c r="T1811" s="12"/>
      <c r="U1811" s="12"/>
      <c r="V1811" s="17"/>
      <c r="W1811" s="38"/>
      <c r="X1811" s="12"/>
      <c r="Y1811" s="17"/>
    </row>
    <row r="1812" spans="19:25">
      <c r="S1812" s="17"/>
      <c r="T1812" s="12"/>
      <c r="U1812" s="12"/>
      <c r="V1812" s="17"/>
      <c r="W1812" s="38"/>
      <c r="X1812" s="12"/>
      <c r="Y1812" s="17"/>
    </row>
    <row r="1813" spans="19:25">
      <c r="S1813" s="17"/>
      <c r="T1813" s="12"/>
      <c r="U1813" s="12"/>
      <c r="V1813" s="17"/>
      <c r="W1813" s="38"/>
      <c r="X1813" s="12"/>
      <c r="Y1813" s="17"/>
    </row>
    <row r="1814" spans="19:25">
      <c r="S1814" s="17"/>
      <c r="T1814" s="12"/>
      <c r="U1814" s="12"/>
      <c r="V1814" s="17"/>
      <c r="W1814" s="38"/>
      <c r="X1814" s="12"/>
      <c r="Y1814" s="17"/>
    </row>
    <row r="1815" spans="19:25">
      <c r="S1815" s="17"/>
      <c r="T1815" s="12"/>
      <c r="U1815" s="12"/>
      <c r="V1815" s="17"/>
      <c r="W1815" s="38"/>
      <c r="X1815" s="12"/>
      <c r="Y1815" s="17"/>
    </row>
    <row r="1816" spans="19:25">
      <c r="S1816" s="17"/>
      <c r="T1816" s="12"/>
      <c r="U1816" s="12"/>
      <c r="V1816" s="17"/>
      <c r="W1816" s="38"/>
      <c r="X1816" s="12"/>
      <c r="Y1816" s="17"/>
    </row>
    <row r="1817" spans="19:25">
      <c r="S1817" s="17"/>
      <c r="T1817" s="12"/>
      <c r="U1817" s="12"/>
      <c r="V1817" s="17"/>
      <c r="W1817" s="38"/>
      <c r="X1817" s="12"/>
      <c r="Y1817" s="17"/>
    </row>
    <row r="1818" spans="19:25">
      <c r="S1818" s="17"/>
      <c r="T1818" s="12"/>
      <c r="U1818" s="12"/>
      <c r="V1818" s="17"/>
      <c r="W1818" s="38"/>
      <c r="X1818" s="12"/>
      <c r="Y1818" s="17"/>
    </row>
    <row r="1819" spans="19:25">
      <c r="S1819" s="17"/>
      <c r="T1819" s="12"/>
      <c r="U1819" s="12"/>
      <c r="V1819" s="17"/>
      <c r="W1819" s="38"/>
      <c r="X1819" s="12"/>
      <c r="Y1819" s="17"/>
    </row>
    <row r="1820" spans="19:25">
      <c r="S1820" s="17"/>
      <c r="T1820" s="12"/>
      <c r="U1820" s="12"/>
      <c r="V1820" s="17"/>
      <c r="W1820" s="38"/>
      <c r="X1820" s="12"/>
      <c r="Y1820" s="17"/>
    </row>
    <row r="1821" spans="19:25">
      <c r="S1821" s="17"/>
      <c r="T1821" s="12"/>
      <c r="U1821" s="12"/>
      <c r="V1821" s="17"/>
      <c r="W1821" s="38"/>
      <c r="X1821" s="12"/>
      <c r="Y1821" s="17"/>
    </row>
    <row r="1822" spans="19:25">
      <c r="S1822" s="17"/>
      <c r="T1822" s="12"/>
      <c r="U1822" s="12"/>
      <c r="V1822" s="17"/>
      <c r="W1822" s="38"/>
      <c r="X1822" s="12"/>
      <c r="Y1822" s="17"/>
    </row>
    <row r="1823" spans="19:25">
      <c r="S1823" s="17"/>
      <c r="T1823" s="12"/>
      <c r="U1823" s="12"/>
      <c r="V1823" s="17"/>
      <c r="W1823" s="38"/>
      <c r="X1823" s="12"/>
      <c r="Y1823" s="17"/>
    </row>
    <row r="1824" spans="19:25">
      <c r="S1824" s="17"/>
      <c r="T1824" s="12"/>
      <c r="U1824" s="12"/>
      <c r="V1824" s="17"/>
      <c r="W1824" s="38"/>
      <c r="X1824" s="12"/>
      <c r="Y1824" s="17"/>
    </row>
    <row r="1825" spans="19:25">
      <c r="S1825" s="17"/>
      <c r="T1825" s="12"/>
      <c r="U1825" s="12"/>
      <c r="V1825" s="17"/>
      <c r="W1825" s="38"/>
      <c r="X1825" s="12"/>
      <c r="Y1825" s="17"/>
    </row>
    <row r="1826" spans="19:25">
      <c r="S1826" s="17"/>
      <c r="T1826" s="12"/>
      <c r="U1826" s="12"/>
      <c r="V1826" s="17"/>
      <c r="W1826" s="38"/>
      <c r="X1826" s="12"/>
      <c r="Y1826" s="17"/>
    </row>
    <row r="1827" spans="19:25">
      <c r="S1827" s="17"/>
      <c r="T1827" s="12"/>
      <c r="U1827" s="12"/>
      <c r="V1827" s="17"/>
      <c r="W1827" s="38"/>
      <c r="X1827" s="12"/>
      <c r="Y1827" s="17"/>
    </row>
    <row r="1828" spans="19:25">
      <c r="S1828" s="17"/>
      <c r="T1828" s="12"/>
      <c r="U1828" s="12"/>
      <c r="V1828" s="17"/>
      <c r="W1828" s="38"/>
      <c r="X1828" s="12"/>
      <c r="Y1828" s="17"/>
    </row>
    <row r="1829" spans="19:25">
      <c r="S1829" s="17"/>
      <c r="T1829" s="12"/>
      <c r="U1829" s="12"/>
      <c r="V1829" s="17"/>
      <c r="W1829" s="38"/>
      <c r="X1829" s="12"/>
      <c r="Y1829" s="17"/>
    </row>
    <row r="1830" spans="19:25">
      <c r="S1830" s="17"/>
      <c r="T1830" s="12"/>
      <c r="U1830" s="12"/>
      <c r="V1830" s="17"/>
      <c r="W1830" s="38"/>
      <c r="X1830" s="12"/>
      <c r="Y1830" s="17"/>
    </row>
    <row r="1831" spans="19:25">
      <c r="S1831" s="17"/>
      <c r="T1831" s="12"/>
      <c r="U1831" s="12"/>
      <c r="V1831" s="17"/>
      <c r="W1831" s="38"/>
      <c r="X1831" s="12"/>
      <c r="Y1831" s="17"/>
    </row>
    <row r="1832" spans="19:25">
      <c r="S1832" s="17"/>
      <c r="T1832" s="12"/>
      <c r="U1832" s="12"/>
      <c r="V1832" s="17"/>
      <c r="W1832" s="38"/>
      <c r="X1832" s="12"/>
      <c r="Y1832" s="17"/>
    </row>
    <row r="1833" spans="19:25">
      <c r="S1833" s="17"/>
      <c r="T1833" s="12"/>
      <c r="U1833" s="12"/>
      <c r="V1833" s="17"/>
      <c r="W1833" s="38"/>
      <c r="X1833" s="12"/>
      <c r="Y1833" s="17"/>
    </row>
    <row r="1834" spans="19:25">
      <c r="S1834" s="17"/>
      <c r="T1834" s="12"/>
      <c r="U1834" s="12"/>
      <c r="V1834" s="17"/>
      <c r="W1834" s="38"/>
      <c r="X1834" s="12"/>
      <c r="Y1834" s="17"/>
    </row>
    <row r="1835" spans="19:25">
      <c r="S1835" s="17"/>
      <c r="T1835" s="12"/>
      <c r="U1835" s="12"/>
      <c r="V1835" s="17"/>
      <c r="W1835" s="38"/>
      <c r="X1835" s="12"/>
      <c r="Y1835" s="17"/>
    </row>
    <row r="1836" spans="19:25">
      <c r="S1836" s="17"/>
      <c r="T1836" s="12"/>
      <c r="U1836" s="12"/>
      <c r="V1836" s="17"/>
      <c r="W1836" s="38"/>
      <c r="X1836" s="12"/>
      <c r="Y1836" s="17"/>
    </row>
    <row r="1837" spans="19:25">
      <c r="S1837" s="17"/>
      <c r="T1837" s="12"/>
      <c r="U1837" s="12"/>
      <c r="V1837" s="17"/>
      <c r="W1837" s="38"/>
      <c r="X1837" s="12"/>
      <c r="Y1837" s="17"/>
    </row>
    <row r="1838" spans="19:25">
      <c r="S1838" s="17"/>
      <c r="T1838" s="12"/>
      <c r="U1838" s="12"/>
      <c r="V1838" s="17"/>
      <c r="W1838" s="38"/>
      <c r="X1838" s="12"/>
      <c r="Y1838" s="17"/>
    </row>
    <row r="1839" spans="19:25">
      <c r="S1839" s="17"/>
      <c r="T1839" s="12"/>
      <c r="U1839" s="12"/>
      <c r="V1839" s="17"/>
      <c r="W1839" s="38"/>
      <c r="X1839" s="12"/>
      <c r="Y1839" s="17"/>
    </row>
    <row r="1840" spans="19:25">
      <c r="S1840" s="17"/>
      <c r="T1840" s="12"/>
      <c r="U1840" s="12"/>
      <c r="V1840" s="17"/>
      <c r="W1840" s="38"/>
      <c r="X1840" s="12"/>
      <c r="Y1840" s="17"/>
    </row>
    <row r="1841" spans="19:25">
      <c r="S1841" s="17"/>
      <c r="T1841" s="12"/>
      <c r="U1841" s="12"/>
      <c r="V1841" s="17"/>
      <c r="W1841" s="38"/>
      <c r="X1841" s="12"/>
      <c r="Y1841" s="17"/>
    </row>
    <row r="1842" spans="19:25">
      <c r="S1842" s="17"/>
      <c r="T1842" s="12"/>
      <c r="U1842" s="12"/>
      <c r="V1842" s="17"/>
      <c r="W1842" s="38"/>
      <c r="X1842" s="12"/>
      <c r="Y1842" s="17"/>
    </row>
    <row r="1843" spans="19:25">
      <c r="S1843" s="17"/>
      <c r="T1843" s="12"/>
      <c r="U1843" s="12"/>
      <c r="V1843" s="17"/>
      <c r="W1843" s="38"/>
      <c r="X1843" s="12"/>
      <c r="Y1843" s="17"/>
    </row>
    <row r="1844" spans="19:25">
      <c r="S1844" s="17"/>
      <c r="T1844" s="12"/>
      <c r="U1844" s="12"/>
      <c r="V1844" s="17"/>
      <c r="W1844" s="38"/>
      <c r="X1844" s="12"/>
      <c r="Y1844" s="17"/>
    </row>
    <row r="1845" spans="19:25">
      <c r="S1845" s="17"/>
      <c r="T1845" s="12"/>
      <c r="U1845" s="12"/>
      <c r="V1845" s="17"/>
      <c r="W1845" s="38"/>
      <c r="X1845" s="12"/>
      <c r="Y1845" s="17"/>
    </row>
    <row r="1846" spans="19:25">
      <c r="S1846" s="17"/>
      <c r="T1846" s="12"/>
      <c r="U1846" s="12"/>
      <c r="V1846" s="17"/>
      <c r="W1846" s="38"/>
      <c r="X1846" s="12"/>
      <c r="Y1846" s="17"/>
    </row>
    <row r="1847" spans="19:25">
      <c r="S1847" s="17"/>
      <c r="T1847" s="12"/>
      <c r="U1847" s="12"/>
      <c r="V1847" s="17"/>
      <c r="W1847" s="38"/>
      <c r="X1847" s="12"/>
      <c r="Y1847" s="17"/>
    </row>
    <row r="1848" spans="19:25">
      <c r="S1848" s="17"/>
      <c r="T1848" s="12"/>
      <c r="U1848" s="12"/>
      <c r="V1848" s="17"/>
      <c r="W1848" s="38"/>
      <c r="X1848" s="12"/>
      <c r="Y1848" s="17"/>
    </row>
    <row r="1849" spans="19:25">
      <c r="S1849" s="17"/>
      <c r="T1849" s="12"/>
      <c r="U1849" s="12"/>
      <c r="V1849" s="17"/>
      <c r="W1849" s="38"/>
      <c r="X1849" s="12"/>
      <c r="Y1849" s="17"/>
    </row>
    <row r="1850" spans="19:25">
      <c r="S1850" s="17"/>
      <c r="T1850" s="12"/>
      <c r="U1850" s="12"/>
      <c r="V1850" s="17"/>
      <c r="W1850" s="38"/>
      <c r="X1850" s="12"/>
      <c r="Y1850" s="17"/>
    </row>
    <row r="1851" spans="19:25">
      <c r="S1851" s="17"/>
      <c r="T1851" s="12"/>
      <c r="U1851" s="12"/>
      <c r="V1851" s="17"/>
      <c r="W1851" s="38"/>
      <c r="X1851" s="12"/>
      <c r="Y1851" s="17"/>
    </row>
    <row r="1852" spans="19:25">
      <c r="S1852" s="17"/>
      <c r="T1852" s="12"/>
      <c r="U1852" s="12"/>
      <c r="V1852" s="17"/>
      <c r="W1852" s="38"/>
      <c r="X1852" s="12"/>
      <c r="Y1852" s="17"/>
    </row>
    <row r="1853" spans="19:25">
      <c r="S1853" s="17"/>
      <c r="T1853" s="12"/>
      <c r="U1853" s="12"/>
      <c r="V1853" s="17"/>
      <c r="W1853" s="38"/>
      <c r="X1853" s="12"/>
      <c r="Y1853" s="17"/>
    </row>
    <row r="1854" spans="19:25">
      <c r="S1854" s="17"/>
      <c r="T1854" s="12"/>
      <c r="U1854" s="12"/>
      <c r="V1854" s="17"/>
      <c r="W1854" s="38"/>
      <c r="X1854" s="12"/>
      <c r="Y1854" s="17"/>
    </row>
    <row r="1855" spans="19:25">
      <c r="S1855" s="17"/>
      <c r="T1855" s="12"/>
      <c r="U1855" s="12"/>
      <c r="V1855" s="17"/>
      <c r="W1855" s="38"/>
      <c r="X1855" s="12"/>
      <c r="Y1855" s="17"/>
    </row>
    <row r="1856" spans="19:25">
      <c r="S1856" s="17"/>
      <c r="T1856" s="12"/>
      <c r="U1856" s="12"/>
      <c r="V1856" s="17"/>
      <c r="W1856" s="38"/>
      <c r="X1856" s="12"/>
      <c r="Y1856" s="17"/>
    </row>
    <row r="1857" spans="19:25">
      <c r="S1857" s="17"/>
      <c r="T1857" s="12"/>
      <c r="U1857" s="12"/>
      <c r="V1857" s="17"/>
      <c r="W1857" s="38"/>
      <c r="X1857" s="12"/>
      <c r="Y1857" s="17"/>
    </row>
    <row r="1858" spans="19:25">
      <c r="S1858" s="17"/>
      <c r="T1858" s="12"/>
      <c r="U1858" s="12"/>
      <c r="V1858" s="17"/>
      <c r="W1858" s="38"/>
      <c r="X1858" s="12"/>
      <c r="Y1858" s="17"/>
    </row>
    <row r="1859" spans="19:25">
      <c r="S1859" s="17"/>
      <c r="T1859" s="12"/>
      <c r="U1859" s="12"/>
      <c r="V1859" s="17"/>
      <c r="W1859" s="38"/>
      <c r="X1859" s="12"/>
      <c r="Y1859" s="17"/>
    </row>
    <row r="1860" spans="19:25">
      <c r="S1860" s="17"/>
      <c r="T1860" s="12"/>
      <c r="U1860" s="12"/>
      <c r="V1860" s="17"/>
      <c r="W1860" s="38"/>
      <c r="X1860" s="12"/>
      <c r="Y1860" s="17"/>
    </row>
    <row r="1861" spans="19:25">
      <c r="S1861" s="17"/>
      <c r="T1861" s="12"/>
      <c r="U1861" s="12"/>
      <c r="V1861" s="17"/>
      <c r="W1861" s="38"/>
      <c r="X1861" s="12"/>
      <c r="Y1861" s="17"/>
    </row>
    <row r="1862" spans="19:25">
      <c r="S1862" s="17"/>
      <c r="T1862" s="12"/>
      <c r="U1862" s="12"/>
      <c r="V1862" s="17"/>
      <c r="W1862" s="38"/>
      <c r="X1862" s="12"/>
      <c r="Y1862" s="17"/>
    </row>
    <row r="1863" spans="19:25">
      <c r="S1863" s="17"/>
      <c r="T1863" s="12"/>
      <c r="U1863" s="12"/>
      <c r="V1863" s="17"/>
      <c r="W1863" s="38"/>
      <c r="X1863" s="12"/>
      <c r="Y1863" s="17"/>
    </row>
    <row r="1864" spans="19:25">
      <c r="S1864" s="17"/>
      <c r="T1864" s="12"/>
      <c r="U1864" s="12"/>
      <c r="V1864" s="17"/>
      <c r="W1864" s="38"/>
      <c r="X1864" s="12"/>
      <c r="Y1864" s="17"/>
    </row>
    <row r="1865" spans="19:25">
      <c r="S1865" s="17"/>
      <c r="T1865" s="12"/>
      <c r="U1865" s="12"/>
      <c r="V1865" s="17"/>
      <c r="W1865" s="38"/>
      <c r="X1865" s="12"/>
      <c r="Y1865" s="17"/>
    </row>
    <row r="1866" spans="19:25">
      <c r="S1866" s="17"/>
      <c r="T1866" s="12"/>
      <c r="U1866" s="12"/>
      <c r="V1866" s="17"/>
      <c r="W1866" s="38"/>
      <c r="X1866" s="12"/>
      <c r="Y1866" s="17"/>
    </row>
    <row r="1867" spans="19:25">
      <c r="S1867" s="17"/>
      <c r="T1867" s="12"/>
      <c r="U1867" s="12"/>
      <c r="V1867" s="17"/>
      <c r="W1867" s="38"/>
      <c r="X1867" s="12"/>
      <c r="Y1867" s="17"/>
    </row>
    <row r="1868" spans="19:25">
      <c r="S1868" s="17"/>
      <c r="T1868" s="12"/>
      <c r="U1868" s="12"/>
      <c r="V1868" s="17"/>
      <c r="W1868" s="38"/>
      <c r="X1868" s="12"/>
      <c r="Y1868" s="17"/>
    </row>
    <row r="1869" spans="19:25">
      <c r="S1869" s="17"/>
      <c r="T1869" s="12"/>
      <c r="U1869" s="12"/>
      <c r="V1869" s="17"/>
      <c r="W1869" s="38"/>
      <c r="X1869" s="12"/>
      <c r="Y1869" s="17"/>
    </row>
    <row r="1870" spans="19:25">
      <c r="S1870" s="17"/>
      <c r="T1870" s="12"/>
      <c r="U1870" s="12"/>
      <c r="V1870" s="17"/>
      <c r="W1870" s="38"/>
      <c r="X1870" s="12"/>
      <c r="Y1870" s="17"/>
    </row>
    <row r="1871" spans="19:25">
      <c r="S1871" s="17"/>
      <c r="T1871" s="12"/>
      <c r="U1871" s="12"/>
      <c r="V1871" s="17"/>
      <c r="W1871" s="38"/>
      <c r="X1871" s="12"/>
      <c r="Y1871" s="17"/>
    </row>
    <row r="1872" spans="19:25">
      <c r="S1872" s="17"/>
      <c r="T1872" s="12"/>
      <c r="U1872" s="12"/>
      <c r="V1872" s="17"/>
      <c r="W1872" s="38"/>
      <c r="X1872" s="12"/>
      <c r="Y1872" s="17"/>
    </row>
    <row r="1873" spans="19:25">
      <c r="S1873" s="17"/>
      <c r="T1873" s="12"/>
      <c r="U1873" s="12"/>
      <c r="V1873" s="17"/>
      <c r="W1873" s="38"/>
      <c r="X1873" s="12"/>
      <c r="Y1873" s="17"/>
    </row>
    <row r="1874" spans="19:25">
      <c r="S1874" s="17"/>
      <c r="T1874" s="12"/>
      <c r="U1874" s="12"/>
      <c r="V1874" s="17"/>
      <c r="W1874" s="38"/>
      <c r="X1874" s="12"/>
      <c r="Y1874" s="17"/>
    </row>
    <row r="1875" spans="19:25">
      <c r="S1875" s="17"/>
      <c r="T1875" s="12"/>
      <c r="U1875" s="12"/>
      <c r="V1875" s="17"/>
      <c r="W1875" s="38"/>
      <c r="X1875" s="12"/>
      <c r="Y1875" s="17"/>
    </row>
    <row r="1876" spans="19:25">
      <c r="S1876" s="17"/>
      <c r="T1876" s="12"/>
      <c r="U1876" s="12"/>
      <c r="V1876" s="17"/>
      <c r="W1876" s="38"/>
      <c r="X1876" s="12"/>
      <c r="Y1876" s="17"/>
    </row>
    <row r="1877" spans="19:25">
      <c r="S1877" s="17"/>
      <c r="T1877" s="12"/>
      <c r="U1877" s="12"/>
      <c r="V1877" s="17"/>
      <c r="W1877" s="38"/>
      <c r="X1877" s="12"/>
      <c r="Y1877" s="17"/>
    </row>
    <row r="1878" spans="19:25">
      <c r="S1878" s="17"/>
      <c r="T1878" s="12"/>
      <c r="U1878" s="12"/>
      <c r="V1878" s="17"/>
      <c r="W1878" s="38"/>
      <c r="X1878" s="12"/>
      <c r="Y1878" s="17"/>
    </row>
    <row r="1879" spans="19:25">
      <c r="S1879" s="17"/>
      <c r="T1879" s="12"/>
      <c r="U1879" s="12"/>
      <c r="V1879" s="17"/>
      <c r="W1879" s="38"/>
      <c r="X1879" s="12"/>
      <c r="Y1879" s="17"/>
    </row>
    <row r="1880" spans="19:25">
      <c r="S1880" s="17"/>
      <c r="T1880" s="12"/>
      <c r="U1880" s="12"/>
      <c r="V1880" s="17"/>
      <c r="W1880" s="38"/>
      <c r="X1880" s="12"/>
      <c r="Y1880" s="17"/>
    </row>
    <row r="1881" spans="19:25">
      <c r="S1881" s="17"/>
      <c r="T1881" s="12"/>
      <c r="U1881" s="12"/>
      <c r="V1881" s="17"/>
      <c r="W1881" s="38"/>
      <c r="X1881" s="12"/>
      <c r="Y1881" s="17"/>
    </row>
    <row r="1882" spans="19:25">
      <c r="S1882" s="17"/>
      <c r="T1882" s="12"/>
      <c r="U1882" s="12"/>
      <c r="V1882" s="17"/>
      <c r="W1882" s="38"/>
      <c r="X1882" s="12"/>
      <c r="Y1882" s="17"/>
    </row>
    <row r="1883" spans="19:25">
      <c r="S1883" s="17"/>
      <c r="T1883" s="12"/>
      <c r="U1883" s="12"/>
      <c r="V1883" s="17"/>
      <c r="W1883" s="38"/>
      <c r="X1883" s="12"/>
      <c r="Y1883" s="17"/>
    </row>
    <row r="1884" spans="19:25">
      <c r="S1884" s="17"/>
      <c r="T1884" s="12"/>
      <c r="U1884" s="12"/>
      <c r="V1884" s="17"/>
      <c r="W1884" s="38"/>
      <c r="X1884" s="12"/>
      <c r="Y1884" s="17"/>
    </row>
    <row r="1885" spans="19:25">
      <c r="S1885" s="17"/>
      <c r="T1885" s="12"/>
      <c r="U1885" s="12"/>
      <c r="V1885" s="17"/>
      <c r="W1885" s="38"/>
      <c r="X1885" s="12"/>
      <c r="Y1885" s="17"/>
    </row>
    <row r="1886" spans="19:25">
      <c r="S1886" s="17"/>
      <c r="T1886" s="12"/>
      <c r="U1886" s="12"/>
      <c r="V1886" s="17"/>
      <c r="W1886" s="38"/>
      <c r="X1886" s="12"/>
      <c r="Y1886" s="17"/>
    </row>
    <row r="1887" spans="19:25">
      <c r="S1887" s="17"/>
      <c r="T1887" s="12"/>
      <c r="U1887" s="12"/>
      <c r="V1887" s="17"/>
      <c r="W1887" s="38"/>
      <c r="X1887" s="12"/>
      <c r="Y1887" s="17"/>
    </row>
    <row r="1888" spans="19:25">
      <c r="S1888" s="17"/>
      <c r="T1888" s="12"/>
      <c r="U1888" s="12"/>
      <c r="V1888" s="17"/>
      <c r="W1888" s="38"/>
      <c r="X1888" s="12"/>
      <c r="Y1888" s="17"/>
    </row>
    <row r="1889" spans="19:25">
      <c r="S1889" s="17"/>
      <c r="T1889" s="12"/>
      <c r="U1889" s="12"/>
      <c r="V1889" s="17"/>
      <c r="W1889" s="38"/>
      <c r="X1889" s="12"/>
      <c r="Y1889" s="17"/>
    </row>
    <row r="1890" spans="19:25">
      <c r="S1890" s="17"/>
      <c r="T1890" s="12"/>
      <c r="U1890" s="12"/>
      <c r="V1890" s="17"/>
      <c r="W1890" s="38"/>
      <c r="X1890" s="12"/>
      <c r="Y1890" s="17"/>
    </row>
    <row r="1891" spans="19:25">
      <c r="S1891" s="17"/>
      <c r="T1891" s="12"/>
      <c r="U1891" s="12"/>
      <c r="V1891" s="17"/>
      <c r="W1891" s="38"/>
      <c r="X1891" s="12"/>
      <c r="Y1891" s="17"/>
    </row>
    <row r="1892" spans="19:25">
      <c r="S1892" s="17"/>
      <c r="T1892" s="12"/>
      <c r="U1892" s="12"/>
      <c r="V1892" s="17"/>
      <c r="W1892" s="38"/>
      <c r="X1892" s="12"/>
      <c r="Y1892" s="17"/>
    </row>
    <row r="1893" spans="19:25">
      <c r="S1893" s="17"/>
      <c r="T1893" s="12"/>
      <c r="U1893" s="12"/>
      <c r="V1893" s="17"/>
      <c r="W1893" s="38"/>
      <c r="X1893" s="12"/>
      <c r="Y1893" s="17"/>
    </row>
    <row r="1894" spans="19:25">
      <c r="S1894" s="17"/>
      <c r="T1894" s="12"/>
      <c r="U1894" s="12"/>
      <c r="V1894" s="17"/>
      <c r="W1894" s="38"/>
      <c r="X1894" s="12"/>
      <c r="Y1894" s="17"/>
    </row>
    <row r="1895" spans="19:25">
      <c r="S1895" s="17"/>
      <c r="T1895" s="12"/>
      <c r="U1895" s="12"/>
      <c r="V1895" s="17"/>
      <c r="W1895" s="38"/>
      <c r="X1895" s="12"/>
      <c r="Y1895" s="17"/>
    </row>
    <row r="1896" spans="19:25">
      <c r="S1896" s="17"/>
      <c r="T1896" s="12"/>
      <c r="U1896" s="12"/>
      <c r="V1896" s="17"/>
      <c r="W1896" s="38"/>
      <c r="X1896" s="12"/>
      <c r="Y1896" s="17"/>
    </row>
    <row r="1897" spans="19:25">
      <c r="S1897" s="17"/>
      <c r="T1897" s="12"/>
      <c r="U1897" s="12"/>
      <c r="V1897" s="17"/>
      <c r="W1897" s="38"/>
      <c r="X1897" s="12"/>
      <c r="Y1897" s="17"/>
    </row>
    <row r="1898" spans="19:25">
      <c r="S1898" s="17"/>
      <c r="T1898" s="12"/>
      <c r="U1898" s="12"/>
      <c r="V1898" s="17"/>
      <c r="W1898" s="38"/>
      <c r="X1898" s="12"/>
      <c r="Y1898" s="17"/>
    </row>
    <row r="1899" spans="19:25">
      <c r="S1899" s="17"/>
      <c r="T1899" s="12"/>
      <c r="U1899" s="12"/>
      <c r="V1899" s="17"/>
      <c r="W1899" s="38"/>
      <c r="X1899" s="12"/>
      <c r="Y1899" s="17"/>
    </row>
    <row r="1900" spans="19:25">
      <c r="S1900" s="17"/>
      <c r="T1900" s="12"/>
      <c r="U1900" s="12"/>
      <c r="V1900" s="17"/>
      <c r="W1900" s="38"/>
      <c r="X1900" s="12"/>
      <c r="Y1900" s="17"/>
    </row>
    <row r="1901" spans="19:25">
      <c r="S1901" s="17"/>
      <c r="T1901" s="12"/>
      <c r="U1901" s="12"/>
      <c r="V1901" s="17"/>
      <c r="W1901" s="38"/>
      <c r="X1901" s="12"/>
      <c r="Y1901" s="17"/>
    </row>
    <row r="1902" spans="19:25">
      <c r="S1902" s="17"/>
      <c r="T1902" s="12"/>
      <c r="U1902" s="12"/>
      <c r="V1902" s="17"/>
      <c r="W1902" s="38"/>
      <c r="X1902" s="12"/>
      <c r="Y1902" s="17"/>
    </row>
    <row r="1903" spans="19:25">
      <c r="S1903" s="17"/>
      <c r="T1903" s="12"/>
      <c r="U1903" s="12"/>
      <c r="V1903" s="17"/>
      <c r="W1903" s="38"/>
      <c r="X1903" s="12"/>
      <c r="Y1903" s="17"/>
    </row>
    <row r="1904" spans="19:25">
      <c r="S1904" s="17"/>
      <c r="T1904" s="12"/>
      <c r="U1904" s="12"/>
      <c r="V1904" s="17"/>
      <c r="W1904" s="38"/>
      <c r="X1904" s="12"/>
      <c r="Y1904" s="17"/>
    </row>
    <row r="1905" spans="19:25">
      <c r="S1905" s="17"/>
      <c r="T1905" s="12"/>
      <c r="U1905" s="12"/>
      <c r="V1905" s="17"/>
      <c r="W1905" s="38"/>
      <c r="X1905" s="12"/>
      <c r="Y1905" s="17"/>
    </row>
    <row r="1906" spans="19:25">
      <c r="S1906" s="17"/>
      <c r="T1906" s="12"/>
      <c r="U1906" s="12"/>
      <c r="V1906" s="17"/>
      <c r="W1906" s="38"/>
      <c r="X1906" s="12"/>
      <c r="Y1906" s="17"/>
    </row>
    <row r="1907" spans="19:25">
      <c r="S1907" s="17"/>
      <c r="T1907" s="12"/>
      <c r="U1907" s="12"/>
      <c r="V1907" s="17"/>
      <c r="W1907" s="38"/>
      <c r="X1907" s="12"/>
      <c r="Y1907" s="17"/>
    </row>
    <row r="1908" spans="19:25">
      <c r="S1908" s="17"/>
      <c r="T1908" s="12"/>
      <c r="U1908" s="12"/>
      <c r="V1908" s="17"/>
      <c r="W1908" s="38"/>
      <c r="X1908" s="12"/>
      <c r="Y1908" s="17"/>
    </row>
    <row r="1909" spans="19:25">
      <c r="S1909" s="17"/>
      <c r="T1909" s="12"/>
      <c r="U1909" s="12"/>
      <c r="V1909" s="17"/>
      <c r="W1909" s="38"/>
      <c r="X1909" s="12"/>
      <c r="Y1909" s="17"/>
    </row>
    <row r="1910" spans="19:25">
      <c r="S1910" s="17"/>
      <c r="T1910" s="12"/>
      <c r="U1910" s="12"/>
      <c r="V1910" s="17"/>
      <c r="W1910" s="38"/>
      <c r="X1910" s="12"/>
      <c r="Y1910" s="17"/>
    </row>
    <row r="1911" spans="19:25">
      <c r="S1911" s="17"/>
      <c r="T1911" s="12"/>
      <c r="U1911" s="12"/>
      <c r="V1911" s="17"/>
      <c r="W1911" s="38"/>
      <c r="X1911" s="12"/>
      <c r="Y1911" s="17"/>
    </row>
    <row r="1912" spans="19:25">
      <c r="S1912" s="17"/>
      <c r="T1912" s="12"/>
      <c r="U1912" s="12"/>
      <c r="V1912" s="17"/>
      <c r="W1912" s="38"/>
      <c r="X1912" s="12"/>
      <c r="Y1912" s="17"/>
    </row>
    <row r="1913" spans="19:25">
      <c r="S1913" s="17"/>
      <c r="T1913" s="12"/>
      <c r="U1913" s="12"/>
      <c r="V1913" s="17"/>
      <c r="W1913" s="38"/>
      <c r="X1913" s="12"/>
      <c r="Y1913" s="17"/>
    </row>
    <row r="1914" spans="19:25">
      <c r="S1914" s="17"/>
      <c r="T1914" s="12"/>
      <c r="U1914" s="12"/>
      <c r="V1914" s="17"/>
      <c r="W1914" s="38"/>
      <c r="X1914" s="12"/>
      <c r="Y1914" s="17"/>
    </row>
    <row r="1915" spans="19:25">
      <c r="S1915" s="17"/>
      <c r="T1915" s="12"/>
      <c r="U1915" s="12"/>
      <c r="V1915" s="17"/>
      <c r="W1915" s="38"/>
      <c r="X1915" s="12"/>
      <c r="Y1915" s="17"/>
    </row>
    <row r="1916" spans="19:25">
      <c r="S1916" s="17"/>
      <c r="T1916" s="12"/>
      <c r="U1916" s="12"/>
      <c r="V1916" s="17"/>
      <c r="W1916" s="38"/>
      <c r="X1916" s="12"/>
      <c r="Y1916" s="17"/>
    </row>
    <row r="1917" spans="19:25">
      <c r="S1917" s="17"/>
      <c r="T1917" s="12"/>
      <c r="U1917" s="12"/>
      <c r="V1917" s="17"/>
      <c r="W1917" s="38"/>
      <c r="X1917" s="12"/>
      <c r="Y1917" s="17"/>
    </row>
    <row r="1918" spans="19:25">
      <c r="S1918" s="17"/>
      <c r="T1918" s="12"/>
      <c r="U1918" s="12"/>
      <c r="V1918" s="17"/>
      <c r="W1918" s="38"/>
      <c r="X1918" s="12"/>
      <c r="Y1918" s="17"/>
    </row>
    <row r="1919" spans="19:25">
      <c r="S1919" s="17"/>
      <c r="T1919" s="12"/>
      <c r="U1919" s="12"/>
      <c r="V1919" s="17"/>
      <c r="W1919" s="38"/>
      <c r="X1919" s="12"/>
      <c r="Y1919" s="17"/>
    </row>
    <row r="1920" spans="19:25">
      <c r="S1920" s="17"/>
      <c r="T1920" s="12"/>
      <c r="U1920" s="12"/>
      <c r="V1920" s="17"/>
      <c r="W1920" s="38"/>
      <c r="X1920" s="12"/>
      <c r="Y1920" s="17"/>
    </row>
    <row r="1921" spans="19:25">
      <c r="S1921" s="17"/>
      <c r="T1921" s="12"/>
      <c r="U1921" s="12"/>
      <c r="V1921" s="17"/>
      <c r="W1921" s="38"/>
      <c r="X1921" s="12"/>
      <c r="Y1921" s="17"/>
    </row>
    <row r="1922" spans="19:25">
      <c r="S1922" s="17"/>
      <c r="T1922" s="12"/>
      <c r="U1922" s="12"/>
      <c r="V1922" s="17"/>
      <c r="W1922" s="38"/>
      <c r="X1922" s="12"/>
      <c r="Y1922" s="17"/>
    </row>
    <row r="1923" spans="19:25">
      <c r="S1923" s="17"/>
      <c r="T1923" s="12"/>
      <c r="U1923" s="12"/>
      <c r="V1923" s="17"/>
      <c r="W1923" s="38"/>
      <c r="X1923" s="12"/>
      <c r="Y1923" s="17"/>
    </row>
    <row r="1924" spans="19:25">
      <c r="S1924" s="17"/>
      <c r="T1924" s="12"/>
      <c r="U1924" s="12"/>
      <c r="V1924" s="17"/>
      <c r="W1924" s="38"/>
      <c r="X1924" s="12"/>
      <c r="Y1924" s="17"/>
    </row>
    <row r="1925" spans="19:25">
      <c r="S1925" s="17"/>
      <c r="T1925" s="12"/>
      <c r="U1925" s="12"/>
      <c r="V1925" s="17"/>
      <c r="W1925" s="38"/>
      <c r="X1925" s="12"/>
      <c r="Y1925" s="17"/>
    </row>
    <row r="1926" spans="19:25">
      <c r="S1926" s="17"/>
      <c r="T1926" s="12"/>
      <c r="U1926" s="12"/>
      <c r="V1926" s="17"/>
      <c r="W1926" s="38"/>
      <c r="X1926" s="12"/>
      <c r="Y1926" s="17"/>
    </row>
    <row r="1927" spans="19:25">
      <c r="S1927" s="17"/>
      <c r="T1927" s="12"/>
      <c r="U1927" s="12"/>
      <c r="V1927" s="17"/>
      <c r="W1927" s="38"/>
      <c r="X1927" s="12"/>
      <c r="Y1927" s="17"/>
    </row>
    <row r="1928" spans="19:25">
      <c r="S1928" s="17"/>
      <c r="T1928" s="12"/>
      <c r="U1928" s="12"/>
      <c r="V1928" s="17"/>
      <c r="W1928" s="38"/>
      <c r="X1928" s="12"/>
      <c r="Y1928" s="17"/>
    </row>
    <row r="1929" spans="19:25">
      <c r="S1929" s="17"/>
      <c r="T1929" s="12"/>
      <c r="U1929" s="12"/>
      <c r="V1929" s="17"/>
      <c r="W1929" s="38"/>
      <c r="X1929" s="12"/>
      <c r="Y1929" s="17"/>
    </row>
    <row r="1930" spans="19:25">
      <c r="S1930" s="17"/>
      <c r="T1930" s="12"/>
      <c r="U1930" s="12"/>
      <c r="V1930" s="17"/>
      <c r="W1930" s="38"/>
      <c r="X1930" s="12"/>
      <c r="Y1930" s="17"/>
    </row>
    <row r="1931" spans="19:25">
      <c r="S1931" s="17"/>
      <c r="T1931" s="12"/>
      <c r="U1931" s="12"/>
      <c r="V1931" s="17"/>
      <c r="W1931" s="38"/>
      <c r="X1931" s="12"/>
      <c r="Y1931" s="17"/>
    </row>
    <row r="1932" spans="19:25">
      <c r="S1932" s="17"/>
      <c r="T1932" s="12"/>
      <c r="U1932" s="12"/>
      <c r="V1932" s="17"/>
      <c r="W1932" s="38"/>
      <c r="X1932" s="12"/>
      <c r="Y1932" s="17"/>
    </row>
    <row r="1933" spans="19:25">
      <c r="S1933" s="17"/>
      <c r="T1933" s="12"/>
      <c r="U1933" s="12"/>
      <c r="V1933" s="17"/>
      <c r="W1933" s="38"/>
      <c r="X1933" s="12"/>
      <c r="Y1933" s="17"/>
    </row>
    <row r="1934" spans="19:25">
      <c r="S1934" s="17"/>
      <c r="T1934" s="12"/>
      <c r="U1934" s="12"/>
      <c r="V1934" s="17"/>
      <c r="W1934" s="38"/>
      <c r="X1934" s="12"/>
      <c r="Y1934" s="17"/>
    </row>
    <row r="1935" spans="19:25">
      <c r="S1935" s="17"/>
      <c r="T1935" s="12"/>
      <c r="U1935" s="12"/>
      <c r="V1935" s="17"/>
      <c r="W1935" s="38"/>
      <c r="X1935" s="12"/>
      <c r="Y1935" s="17"/>
    </row>
    <row r="1936" spans="19:25">
      <c r="S1936" s="17"/>
      <c r="T1936" s="12"/>
      <c r="U1936" s="12"/>
      <c r="V1936" s="17"/>
      <c r="W1936" s="38"/>
      <c r="X1936" s="12"/>
      <c r="Y1936" s="17"/>
    </row>
    <row r="1937" spans="19:25">
      <c r="S1937" s="17"/>
      <c r="T1937" s="12"/>
      <c r="U1937" s="12"/>
      <c r="V1937" s="17"/>
      <c r="W1937" s="38"/>
      <c r="X1937" s="12"/>
      <c r="Y1937" s="17"/>
    </row>
    <row r="1938" spans="19:25">
      <c r="S1938" s="17"/>
      <c r="T1938" s="12"/>
      <c r="U1938" s="12"/>
      <c r="V1938" s="17"/>
      <c r="W1938" s="38"/>
      <c r="X1938" s="12"/>
      <c r="Y1938" s="17"/>
    </row>
    <row r="1939" spans="19:25">
      <c r="S1939" s="17"/>
      <c r="T1939" s="12"/>
      <c r="U1939" s="12"/>
      <c r="V1939" s="17"/>
      <c r="W1939" s="38"/>
      <c r="X1939" s="12"/>
      <c r="Y1939" s="17"/>
    </row>
    <row r="1940" spans="19:25">
      <c r="S1940" s="17"/>
      <c r="T1940" s="12"/>
      <c r="U1940" s="12"/>
      <c r="V1940" s="17"/>
      <c r="W1940" s="38"/>
      <c r="X1940" s="12"/>
      <c r="Y1940" s="17"/>
    </row>
    <row r="1941" spans="19:25">
      <c r="S1941" s="17"/>
      <c r="T1941" s="12"/>
      <c r="U1941" s="12"/>
      <c r="V1941" s="17"/>
      <c r="W1941" s="38"/>
      <c r="X1941" s="12"/>
      <c r="Y1941" s="17"/>
    </row>
    <row r="1942" spans="19:25">
      <c r="S1942" s="17"/>
      <c r="T1942" s="12"/>
      <c r="U1942" s="12"/>
      <c r="V1942" s="17"/>
      <c r="W1942" s="38"/>
      <c r="X1942" s="12"/>
      <c r="Y1942" s="17"/>
    </row>
    <row r="1943" spans="19:25">
      <c r="S1943" s="17"/>
      <c r="T1943" s="12"/>
      <c r="U1943" s="12"/>
      <c r="V1943" s="17"/>
      <c r="W1943" s="38"/>
      <c r="X1943" s="12"/>
      <c r="Y1943" s="17"/>
    </row>
    <row r="1944" spans="19:25">
      <c r="S1944" s="17"/>
      <c r="T1944" s="12"/>
      <c r="U1944" s="12"/>
      <c r="V1944" s="17"/>
      <c r="W1944" s="38"/>
      <c r="X1944" s="12"/>
      <c r="Y1944" s="17"/>
    </row>
    <row r="1945" spans="19:25">
      <c r="S1945" s="17"/>
      <c r="T1945" s="12"/>
      <c r="U1945" s="12"/>
      <c r="V1945" s="17"/>
      <c r="W1945" s="38"/>
      <c r="X1945" s="12"/>
      <c r="Y1945" s="17"/>
    </row>
    <row r="1946" spans="19:25">
      <c r="S1946" s="17"/>
      <c r="T1946" s="12"/>
      <c r="U1946" s="12"/>
      <c r="V1946" s="17"/>
      <c r="W1946" s="38"/>
      <c r="X1946" s="12"/>
      <c r="Y1946" s="17"/>
    </row>
    <row r="1947" spans="19:25">
      <c r="S1947" s="17"/>
      <c r="T1947" s="12"/>
      <c r="U1947" s="12"/>
      <c r="V1947" s="17"/>
      <c r="W1947" s="38"/>
      <c r="X1947" s="12"/>
      <c r="Y1947" s="17"/>
    </row>
    <row r="1948" spans="19:25">
      <c r="S1948" s="17"/>
      <c r="T1948" s="12"/>
      <c r="U1948" s="12"/>
      <c r="V1948" s="17"/>
      <c r="W1948" s="38"/>
      <c r="X1948" s="12"/>
      <c r="Y1948" s="17"/>
    </row>
    <row r="1949" spans="19:25">
      <c r="S1949" s="17"/>
      <c r="T1949" s="12"/>
      <c r="U1949" s="12"/>
      <c r="V1949" s="17"/>
      <c r="W1949" s="38"/>
      <c r="X1949" s="12"/>
      <c r="Y1949" s="17"/>
    </row>
    <row r="1950" spans="19:25">
      <c r="S1950" s="17"/>
      <c r="T1950" s="12"/>
      <c r="U1950" s="12"/>
      <c r="V1950" s="17"/>
      <c r="W1950" s="38"/>
      <c r="X1950" s="12"/>
      <c r="Y1950" s="17"/>
    </row>
    <row r="1951" spans="19:25">
      <c r="S1951" s="17"/>
      <c r="T1951" s="12"/>
      <c r="U1951" s="12"/>
      <c r="V1951" s="17"/>
      <c r="W1951" s="38"/>
      <c r="X1951" s="12"/>
      <c r="Y1951" s="17"/>
    </row>
    <row r="1952" spans="19:25">
      <c r="S1952" s="17"/>
      <c r="T1952" s="12"/>
      <c r="U1952" s="12"/>
      <c r="V1952" s="17"/>
      <c r="W1952" s="38"/>
      <c r="X1952" s="12"/>
      <c r="Y1952" s="17"/>
    </row>
    <row r="1953" spans="19:25">
      <c r="S1953" s="17"/>
      <c r="T1953" s="12"/>
      <c r="U1953" s="12"/>
      <c r="V1953" s="17"/>
      <c r="W1953" s="38"/>
      <c r="X1953" s="12"/>
      <c r="Y1953" s="17"/>
    </row>
    <row r="1954" spans="19:25">
      <c r="S1954" s="17"/>
      <c r="T1954" s="12"/>
      <c r="U1954" s="12"/>
      <c r="V1954" s="17"/>
      <c r="W1954" s="38"/>
      <c r="X1954" s="12"/>
      <c r="Y1954" s="17"/>
    </row>
    <row r="1955" spans="19:25">
      <c r="S1955" s="17"/>
      <c r="T1955" s="12"/>
      <c r="U1955" s="12"/>
      <c r="V1955" s="17"/>
      <c r="W1955" s="38"/>
      <c r="X1955" s="12"/>
      <c r="Y1955" s="17"/>
    </row>
    <row r="1956" spans="19:25">
      <c r="S1956" s="17"/>
      <c r="T1956" s="12"/>
      <c r="U1956" s="12"/>
      <c r="V1956" s="17"/>
      <c r="W1956" s="38"/>
      <c r="X1956" s="12"/>
      <c r="Y1956" s="17"/>
    </row>
    <row r="1957" spans="19:25">
      <c r="S1957" s="17"/>
      <c r="T1957" s="12"/>
      <c r="U1957" s="12"/>
      <c r="V1957" s="17"/>
      <c r="W1957" s="38"/>
      <c r="X1957" s="12"/>
      <c r="Y1957" s="17"/>
    </row>
    <row r="1958" spans="19:25">
      <c r="S1958" s="17"/>
      <c r="T1958" s="12"/>
      <c r="U1958" s="12"/>
      <c r="V1958" s="17"/>
      <c r="W1958" s="38"/>
      <c r="X1958" s="12"/>
      <c r="Y1958" s="17"/>
    </row>
    <row r="1959" spans="19:25">
      <c r="S1959" s="17"/>
      <c r="T1959" s="12"/>
      <c r="U1959" s="12"/>
      <c r="V1959" s="17"/>
      <c r="W1959" s="38"/>
      <c r="X1959" s="12"/>
      <c r="Y1959" s="17"/>
    </row>
    <row r="1960" spans="19:25">
      <c r="S1960" s="17"/>
      <c r="T1960" s="12"/>
      <c r="U1960" s="12"/>
      <c r="V1960" s="17"/>
      <c r="W1960" s="38"/>
      <c r="X1960" s="12"/>
      <c r="Y1960" s="17"/>
    </row>
    <row r="1961" spans="19:25">
      <c r="S1961" s="17"/>
      <c r="T1961" s="12"/>
      <c r="U1961" s="12"/>
      <c r="V1961" s="17"/>
      <c r="W1961" s="38"/>
      <c r="X1961" s="12"/>
      <c r="Y1961" s="17"/>
    </row>
    <row r="1962" spans="19:25">
      <c r="S1962" s="17"/>
      <c r="T1962" s="12"/>
      <c r="U1962" s="12"/>
      <c r="V1962" s="17"/>
      <c r="W1962" s="38"/>
      <c r="X1962" s="12"/>
      <c r="Y1962" s="17"/>
    </row>
    <row r="1963" spans="19:25">
      <c r="S1963" s="17"/>
      <c r="T1963" s="12"/>
      <c r="U1963" s="12"/>
      <c r="V1963" s="17"/>
      <c r="W1963" s="38"/>
      <c r="X1963" s="12"/>
      <c r="Y1963" s="17"/>
    </row>
    <row r="1964" spans="19:25">
      <c r="S1964" s="17"/>
      <c r="T1964" s="12"/>
      <c r="U1964" s="12"/>
      <c r="V1964" s="17"/>
      <c r="W1964" s="38"/>
      <c r="X1964" s="12"/>
      <c r="Y1964" s="17"/>
    </row>
    <row r="1965" spans="19:25">
      <c r="S1965" s="17"/>
      <c r="T1965" s="12"/>
      <c r="U1965" s="12"/>
      <c r="V1965" s="17"/>
      <c r="W1965" s="38"/>
      <c r="X1965" s="12"/>
      <c r="Y1965" s="17"/>
    </row>
    <row r="1966" spans="19:25">
      <c r="S1966" s="17"/>
      <c r="T1966" s="12"/>
      <c r="U1966" s="12"/>
      <c r="V1966" s="17"/>
      <c r="W1966" s="38"/>
      <c r="X1966" s="12"/>
      <c r="Y1966" s="17"/>
    </row>
    <row r="1967" spans="19:25">
      <c r="S1967" s="17"/>
    </row>
  </sheetData>
  <autoFilter ref="A1:Z651" xr:uid="{7DE615AB-EE0A-440F-8B6B-448C0CC33EB2}">
    <sortState xmlns:xlrd2="http://schemas.microsoft.com/office/spreadsheetml/2017/richdata2" ref="A2:Z651">
      <sortCondition ref="N1:N651"/>
    </sortState>
  </autoFilter>
  <sortState xmlns:xlrd2="http://schemas.microsoft.com/office/spreadsheetml/2017/richdata2" ref="A2:AA651">
    <sortCondition ref="C2:C651"/>
    <sortCondition ref="A2:A651"/>
    <sortCondition ref="B2:B651"/>
    <sortCondition ref="L2:L651"/>
    <sortCondition ref="J2:J651"/>
  </sortState>
  <phoneticPr fontId="1" type="noConversion"/>
  <conditionalFormatting sqref="T556:U556">
    <cfRule type="expression" dxfId="19" priority="19">
      <formula>$R556="무"</formula>
    </cfRule>
  </conditionalFormatting>
  <conditionalFormatting sqref="T4:Y90 T535:Y547 T553:Y555 T595:T604 T92:Y532">
    <cfRule type="expression" dxfId="18" priority="25">
      <formula>$S4="무"</formula>
    </cfRule>
  </conditionalFormatting>
  <conditionalFormatting sqref="T91:Y91">
    <cfRule type="expression" dxfId="17" priority="21">
      <formula>$R91="무"</formula>
    </cfRule>
  </conditionalFormatting>
  <conditionalFormatting sqref="T533:Y534">
    <cfRule type="expression" dxfId="16" priority="7">
      <formula>$R533="무"</formula>
    </cfRule>
  </conditionalFormatting>
  <conditionalFormatting sqref="T548:Y548">
    <cfRule type="expression" dxfId="15" priority="9">
      <formula>$R548="무"</formula>
    </cfRule>
  </conditionalFormatting>
  <conditionalFormatting sqref="T549:Y550">
    <cfRule type="expression" dxfId="14" priority="10">
      <formula>$S549="무"</formula>
    </cfRule>
  </conditionalFormatting>
  <conditionalFormatting sqref="T551:Y552">
    <cfRule type="expression" dxfId="13" priority="12">
      <formula>$R551="무"</formula>
    </cfRule>
  </conditionalFormatting>
  <conditionalFormatting sqref="T557:Y608">
    <cfRule type="expression" dxfId="12" priority="23">
      <formula>$S557="무"</formula>
    </cfRule>
  </conditionalFormatting>
  <conditionalFormatting sqref="T609:Y609">
    <cfRule type="expression" dxfId="11" priority="16">
      <formula>$R609="무"</formula>
    </cfRule>
  </conditionalFormatting>
  <conditionalFormatting sqref="T610:Y1966">
    <cfRule type="expression" dxfId="10" priority="1">
      <formula>$S610="무"</formula>
    </cfRule>
  </conditionalFormatting>
  <conditionalFormatting sqref="U4:U90 U535:U547 U549:U550 U553:U555 U92:U532">
    <cfRule type="expression" dxfId="9" priority="24">
      <formula>$S4="계획"</formula>
    </cfRule>
  </conditionalFormatting>
  <conditionalFormatting sqref="U91">
    <cfRule type="expression" dxfId="8" priority="20">
      <formula>$R91="계획"</formula>
    </cfRule>
  </conditionalFormatting>
  <conditionalFormatting sqref="U533:U534">
    <cfRule type="expression" dxfId="7" priority="6">
      <formula>$R533="계획"</formula>
    </cfRule>
  </conditionalFormatting>
  <conditionalFormatting sqref="U548">
    <cfRule type="expression" dxfId="6" priority="8">
      <formula>$R548="계획"</formula>
    </cfRule>
  </conditionalFormatting>
  <conditionalFormatting sqref="U551:U552">
    <cfRule type="expression" dxfId="5" priority="11">
      <formula>$R551="계획"</formula>
    </cfRule>
  </conditionalFormatting>
  <conditionalFormatting sqref="U556">
    <cfRule type="expression" dxfId="4" priority="18">
      <formula>$R556="계획"</formula>
    </cfRule>
  </conditionalFormatting>
  <conditionalFormatting sqref="U557:U608">
    <cfRule type="expression" dxfId="3" priority="22">
      <formula>$S557="계획"</formula>
    </cfRule>
  </conditionalFormatting>
  <conditionalFormatting sqref="U609">
    <cfRule type="expression" dxfId="2" priority="15">
      <formula>$R609="계획"</formula>
    </cfRule>
  </conditionalFormatting>
  <conditionalFormatting sqref="U610:U1966">
    <cfRule type="expression" dxfId="1" priority="2">
      <formula>$S610="계획"</formula>
    </cfRule>
  </conditionalFormatting>
  <conditionalFormatting sqref="V556:Y556">
    <cfRule type="expression" dxfId="0" priority="17">
      <formula>$S556="무"</formula>
    </cfRule>
  </conditionalFormatting>
  <dataValidations count="10">
    <dataValidation type="list" allowBlank="1" showInputMessage="1" showErrorMessage="1" sqref="F4:F206 F208:F1048576" xr:uid="{2340BD40-5B01-4CDA-A617-A8DDD1DEDEF3}">
      <formula1>"3GPP,APT,ATSC,ETSI,IEC,IEEE,IETF,IRTF,ISO,ISO/IEC JTC1,ITU-R,ITU-T,MPAI,OCF,OMG,O-RAN Alliance,SAE International,W3C,기타"</formula1>
    </dataValidation>
    <dataValidation type="list" allowBlank="1" showInputMessage="1" showErrorMessage="1" sqref="F207" xr:uid="{38CDD521-5225-4DEB-A2FB-8A6EF94523EB}">
      <formula1>"3GPP,APT,ATSC,BSI,ETSI,IEC,IEEE,IETF,IRTF,ISO,ISO/IEC JTC1,ITU-R,ITU-T,MPAI,OCF,OMG,O-RAN Alliance,SAE International,W3C,기타"</formula1>
    </dataValidation>
    <dataValidation type="list" allowBlank="1" showInputMessage="1" showErrorMessage="1" sqref="V342:V343" xr:uid="{797BACA0-1FA9-4CC7-8D1D-2F7BF7AD77FB}">
      <formula1>"O, X"</formula1>
    </dataValidation>
    <dataValidation type="list" allowBlank="1" showInputMessage="1" showErrorMessage="1" sqref="A610:A614 A574:A607 A616:A1048576 A4:A516" xr:uid="{36360754-3297-43FB-B4DF-1ACFB4DD5C22}">
      <formula1>"초지능창의연구소, 입체통신연구소, 초실감메타버스연구소, 디지털융합연구소, ICT전략연구소, 대경권연구센터, 호남권연구센터, 수도권연구센터, AI안전연구소"</formula1>
    </dataValidation>
    <dataValidation type="list" allowBlank="1" showInputMessage="1" showErrorMessage="1" sqref="Q585:Q588" xr:uid="{51A7C7F1-3CF2-4FCA-8AD3-C9217C0E7DBE}">
      <formula1>#REF!</formula1>
    </dataValidation>
    <dataValidation type="list" allowBlank="1" showInputMessage="1" showErrorMessage="1" sqref="A517:A573 A608:A609" xr:uid="{6F75E763-F73D-4B45-A418-9FBA824B5C3E}">
      <formula1>"인공지능컴퓨팅연구소, 초지능창의연구소, 입체통신연구소, 초실감메타버스연구소, 디지털융합연구소, ICT전략연구소, 대경권연구센터, 호남권연구센터, 수도권연구센터"</formula1>
    </dataValidation>
    <dataValidation type="list" allowBlank="1" showInputMessage="1" showErrorMessage="1" sqref="T542:T1048576 T4:T539" xr:uid="{2EF641EF-C3FD-4AFE-B604-2AC03198D68B}">
      <formula1>"0,1,2,3,4,5,6,7,8,9,10,11,12,13,14,15,16,17,18,19,20"</formula1>
    </dataValidation>
    <dataValidation type="list" allowBlank="1" showInputMessage="1" showErrorMessage="1" sqref="H4:H1048576" xr:uid="{83EC6500-D280-4FAD-B765-6328659A25A6}">
      <formula1>"계획중,제안중,개발중,제정완료,개발중단"</formula1>
    </dataValidation>
    <dataValidation type="list" allowBlank="1" showInputMessage="1" showErrorMessage="1" sqref="P4:P1048576" xr:uid="{1CCA212C-DA37-45CE-9CCA-8AFBFB1558ED}">
      <formula1>"과기부,산업부,국토부,국방부,교육부,행안부,법무부,문체부,환경부,농림축산부,보건복지부,여가부,해수부,중소기업부,다부처"</formula1>
    </dataValidation>
    <dataValidation type="list" allowBlank="1" showInputMessage="1" showErrorMessage="1" sqref="S4:S1048576" xr:uid="{6345F52B-5E0D-4381-8B40-D83E77519077}">
      <formula1>"유,무,계획"</formula1>
    </dataValidation>
  </dataValidations>
  <hyperlinks>
    <hyperlink ref="E119" r:id="rId1" xr:uid="{B4A20EB8-D5CD-4E53-A5EA-D7C1E03FF737}"/>
    <hyperlink ref="E120" r:id="rId2" xr:uid="{78BED0E7-BF7B-46DD-837A-A75483C0ECFB}"/>
    <hyperlink ref="E606" r:id="rId3" xr:uid="{9A9C9F7C-C074-48F6-9FDF-CEDDB8DE59CD}"/>
  </hyperlinks>
  <pageMargins left="0.7" right="0.7" top="0.75" bottom="0.75" header="0.3" footer="0.3"/>
  <pageSetup paperSize="9" orientation="portrait" r:id="rId4"/>
  <legacyDrawing r:id="rId5"/>
  <extLst>
    <ext xmlns:x14="http://schemas.microsoft.com/office/spreadsheetml/2009/9/main" uri="{CCE6A557-97BC-4b89-ADB6-D9C93CAAB3DF}">
      <x14:dataValidations xmlns:xm="http://schemas.microsoft.com/office/excel/2006/main" count="3">
        <x14:dataValidation type="list" allowBlank="1" showInputMessage="1" showErrorMessage="1" xr:uid="{B1C30675-AF35-48C7-9C14-8D58C2C4E460}">
          <x14:formula1>
            <xm:f>'(참고) ETRI 12대 전략기술 및 42개 세부기술'!$B$3:$B$14</xm:f>
          </x14:formula1>
          <xm:sqref>Q569:Q584 Q624 Q14:Q173 Q535:Q549 Q566:Q567 Q591:Q594 Q553:Q564 Q403:Q532 Q4:Q7 Q645:Q1048576 Q599 Q612:Q615 Q637:Q639 Q641 Q601:Q603 Q283:Q401 Q605:Q607 Q609:Q610 Q628:Q633 Q175:Q270</xm:sqref>
        </x14:dataValidation>
        <x14:dataValidation type="list" allowBlank="1" showInputMessage="1" showErrorMessage="1" xr:uid="{FD6E9437-D429-4A1C-B29F-D4632E4F3557}">
          <x14:formula1>
            <xm:f>INDIRECT("range" &amp; MATCH($Q4, '(참고) ETRI 12대 전략기술 및 42개 세부기술'!$B$3:$B$14, 0))</xm:f>
          </x14:formula1>
          <xm:sqref>R27:R106 R403:R532 R535:R549 R14:R25 R624:R625 R4:R7 R598:R615 R553:R596 R617 R108:R401 R627:R1048576</xm:sqref>
        </x14:dataValidation>
        <x14:dataValidation type="list" allowBlank="1" showInputMessage="1" showErrorMessage="1" xr:uid="{0154B398-2B1E-41E0-811D-CEA46143E954}">
          <x14:formula1>
            <xm:f>'(참고) ETRI 12대 전략기술 및 42개 세부기술'!$BG$3:$BG$8</xm:f>
          </x14:formula1>
          <xm:sqref>O4:O1048576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27E1-7C2F-4A7D-8C95-C32DCC8A6E60}">
  <dimension ref="B1:O35"/>
  <sheetViews>
    <sheetView zoomScale="70" zoomScaleNormal="70" workbookViewId="0">
      <selection activeCell="C46" sqref="C46"/>
    </sheetView>
  </sheetViews>
  <sheetFormatPr defaultRowHeight="17.5"/>
  <cols>
    <col min="1" max="1" width="2.4609375" customWidth="1"/>
    <col min="2" max="2" width="20.23046875" bestFit="1" customWidth="1"/>
    <col min="3" max="3" width="21.53515625" style="199" customWidth="1"/>
    <col min="4" max="4" width="1.07421875" style="1" customWidth="1"/>
    <col min="5" max="5" width="7.765625" style="7" customWidth="1"/>
    <col min="6" max="8" width="8.84375" style="1"/>
    <col min="9" max="9" width="0.84375" style="239" customWidth="1"/>
    <col min="10" max="15" width="8.84375" style="1"/>
    <col min="16" max="16" width="1" customWidth="1"/>
  </cols>
  <sheetData>
    <row r="1" spans="2:15">
      <c r="E1" s="356" t="s">
        <v>2786</v>
      </c>
      <c r="F1" s="356"/>
      <c r="G1" s="191" t="s">
        <v>2653</v>
      </c>
      <c r="H1" s="192" t="s">
        <v>2794</v>
      </c>
      <c r="J1" s="356" t="s">
        <v>2954</v>
      </c>
      <c r="K1" s="356"/>
      <c r="L1" s="356"/>
      <c r="M1" s="356"/>
      <c r="N1" s="356"/>
      <c r="O1" s="251"/>
    </row>
    <row r="2" spans="2:15">
      <c r="B2" s="363" t="s">
        <v>2785</v>
      </c>
      <c r="C2" s="363"/>
      <c r="E2" s="245" t="s">
        <v>2798</v>
      </c>
      <c r="F2" s="203" t="s">
        <v>2800</v>
      </c>
      <c r="G2" s="218" t="s">
        <v>2787</v>
      </c>
      <c r="H2" s="197" t="s">
        <v>2788</v>
      </c>
      <c r="I2" s="240"/>
      <c r="J2" s="203" t="s">
        <v>2949</v>
      </c>
      <c r="K2" s="203" t="s">
        <v>2950</v>
      </c>
      <c r="L2" s="203" t="s">
        <v>164</v>
      </c>
      <c r="M2" s="203" t="s">
        <v>2952</v>
      </c>
      <c r="N2" s="203" t="s">
        <v>2951</v>
      </c>
      <c r="O2" s="203" t="s">
        <v>3094</v>
      </c>
    </row>
    <row r="3" spans="2:15" s="188" customFormat="1" ht="5.25" customHeight="1">
      <c r="B3" s="190"/>
      <c r="C3" s="200"/>
      <c r="D3" s="223"/>
      <c r="E3" s="224"/>
      <c r="F3" s="220"/>
      <c r="G3" s="221"/>
      <c r="H3" s="222"/>
      <c r="I3" s="241"/>
      <c r="J3" s="223"/>
      <c r="K3" s="223"/>
      <c r="L3" s="223"/>
      <c r="M3" s="223"/>
      <c r="N3" s="223"/>
      <c r="O3" s="223"/>
    </row>
    <row r="4" spans="2:15">
      <c r="B4" s="194" t="s">
        <v>736</v>
      </c>
      <c r="C4" s="198" t="s">
        <v>737</v>
      </c>
      <c r="E4" s="242"/>
      <c r="F4" s="225">
        <f>COUNTIF(취합!$B:$B,결과!C4)</f>
        <v>57</v>
      </c>
      <c r="G4" s="11" t="str">
        <f>IF(COUNTIFS(취합!$B:$B,결과!C4,취합!$AA:$AA,G$1)=0,"",COUNTIFS(취합!$B:$B,결과!C4,취합!$AA:$AA,G$1))</f>
        <v/>
      </c>
      <c r="H4" s="226" t="str">
        <f>IF(COUNTIFS(취합!$B:$B,결과!C4, 취합!$AA:$AA,H$1)=0,"",COUNTIFS(취합!$B:$B,결과!C4, 취합!$AA:$AA,H$1))</f>
        <v/>
      </c>
      <c r="J4" s="11" t="str">
        <f>IF(COUNTIFS(취합!$B:$B,결과!$C4,취합!$H:$H,"계획중")=0,"",COUNTIFS(취합!$B:$B,결과!$C4,취합!$H:$H,"계획중"))</f>
        <v/>
      </c>
      <c r="K4" s="11" t="str">
        <f>IF(COUNTIFS(취합!$B:$B,결과!$C4,취합!$H:$H,"제안중")=0,"",COUNTIFS(취합!$B:$B,결과!$C4,취합!$H:$H,"제안중"))</f>
        <v/>
      </c>
      <c r="L4" s="11">
        <f>IF(COUNTIFS(취합!$B:$B,결과!$C4,취합!$H:$H,"개발중")=0,"",COUNTIFS(취합!$B:$B,결과!$C4,취합!$H:$H,"개발중"))</f>
        <v>14</v>
      </c>
      <c r="M4" s="11">
        <f>IF(COUNTIFS(취합!$B:$B,결과!$C4,취합!$H:$H,"제정완료")=0,"",COUNTIFS(취합!$B:$B,결과!$C4,취합!$H:$H,"제정완료"))</f>
        <v>42</v>
      </c>
      <c r="N4" s="226">
        <f>IF(COUNTIFS(취합!$B:$B,결과!$C4,취합!$H:$H,"개발중단")=0,"",COUNTIFS(취합!$B:$B,결과!$C4,취합!$H:$H,"개발중단"))</f>
        <v>1</v>
      </c>
      <c r="O4" s="225">
        <f>IF(N4="", SUM(J4:M4), SUM(J4:M4))</f>
        <v>56</v>
      </c>
    </row>
    <row r="5" spans="2:15">
      <c r="B5" s="194" t="s">
        <v>736</v>
      </c>
      <c r="C5" s="198" t="s">
        <v>2789</v>
      </c>
      <c r="E5" s="243"/>
      <c r="F5" s="225">
        <f>COUNTIF(취합!$B:$B,결과!C5)</f>
        <v>1</v>
      </c>
      <c r="G5" s="11" t="str">
        <f>IF(COUNTIFS(취합!$B:$B,결과!C5,취합!$AA:$AA,G$1)=0,"",COUNTIFS(취합!$B:$B,결과!C5,취합!$AA:$AA,G$1))</f>
        <v/>
      </c>
      <c r="H5" s="226" t="str">
        <f>IF(COUNTIFS(취합!$B:$B,결과!C5, 취합!$AA:$AA,H$1)=0,"",COUNTIFS(취합!$B:$B,결과!C5, 취합!$AA:$AA,H$1))</f>
        <v/>
      </c>
      <c r="J5" s="11" t="str">
        <f>IF(COUNTIFS(취합!$B:$B,결과!$C5,취합!$H:$H,"계획중")=0,"",COUNTIFS(취합!$B:$B,결과!$C5,취합!$H:$H,"계획중"))</f>
        <v/>
      </c>
      <c r="K5" s="11" t="str">
        <f>IF(COUNTIFS(취합!$B:$B,결과!$C5,취합!$H:$H,"제안중")=0,"",COUNTIFS(취합!$B:$B,결과!$C5,취합!$H:$H,"제안중"))</f>
        <v/>
      </c>
      <c r="L5" s="11">
        <f>IF(COUNTIFS(취합!$B:$B,결과!$C5,취합!$H:$H,"개발중")=0,"",COUNTIFS(취합!$B:$B,결과!$C5,취합!$H:$H,"개발중"))</f>
        <v>1</v>
      </c>
      <c r="M5" s="11" t="str">
        <f>IF(COUNTIFS(취합!$B:$B,결과!$C5,취합!$H:$H,"제정완료")=0,"",COUNTIFS(취합!$B:$B,결과!$C5,취합!$H:$H,"제정완료"))</f>
        <v/>
      </c>
      <c r="N5" s="226" t="str">
        <f>IF(COUNTIFS(취합!$B:$B,결과!$C5,취합!$H:$H,"개발중단")=0,"",COUNTIFS(취합!$B:$B,결과!$C5,취합!$H:$H,"개발중단"))</f>
        <v/>
      </c>
      <c r="O5" s="225">
        <f t="shared" ref="O5:O7" si="0">IF(N5="", SUM(J5:M5), SUM(J5:M5))</f>
        <v>1</v>
      </c>
    </row>
    <row r="6" spans="2:15">
      <c r="B6" s="194" t="s">
        <v>736</v>
      </c>
      <c r="C6" s="198" t="s">
        <v>1736</v>
      </c>
      <c r="E6" s="243"/>
      <c r="F6" s="225">
        <f>COUNTIF(취합!$B:$B,결과!C6)</f>
        <v>24</v>
      </c>
      <c r="G6" s="11" t="str">
        <f>IF(COUNTIFS(취합!$B:$B,결과!C6,취합!$AA:$AA,G$1)=0,"",COUNTIFS(취합!$B:$B,결과!C6,취합!$AA:$AA,G$1))</f>
        <v/>
      </c>
      <c r="H6" s="226">
        <f>IF(COUNTIFS(취합!$B:$B,결과!C6, 취합!$AA:$AA,H$1)=0,"",COUNTIFS(취합!$B:$B,결과!C6, 취합!$AA:$AA,H$1))</f>
        <v>4</v>
      </c>
      <c r="J6" s="11">
        <f>IF(COUNTIFS(취합!$B:$B,결과!$C6,취합!$H:$H,"계획중")=0,"",COUNTIFS(취합!$B:$B,결과!$C6,취합!$H:$H,"계획중"))</f>
        <v>6</v>
      </c>
      <c r="K6" s="11" t="str">
        <f>IF(COUNTIFS(취합!$B:$B,결과!$C6,취합!$H:$H,"제안중")=0,"",COUNTIFS(취합!$B:$B,결과!$C6,취합!$H:$H,"제안중"))</f>
        <v/>
      </c>
      <c r="L6" s="11">
        <f>IF(COUNTIFS(취합!$B:$B,결과!$C6,취합!$H:$H,"개발중")=0,"",COUNTIFS(취합!$B:$B,결과!$C6,취합!$H:$H,"개발중"))</f>
        <v>7</v>
      </c>
      <c r="M6" s="11">
        <f>IF(COUNTIFS(취합!$B:$B,결과!$C6,취합!$H:$H,"제정완료")=0,"",COUNTIFS(취합!$B:$B,결과!$C6,취합!$H:$H,"제정완료"))</f>
        <v>11</v>
      </c>
      <c r="N6" s="226" t="str">
        <f>IF(COUNTIFS(취합!$B:$B,결과!$C6,취합!$H:$H,"개발중단")=0,"",COUNTIFS(취합!$B:$B,결과!$C6,취합!$H:$H,"개발중단"))</f>
        <v/>
      </c>
      <c r="O6" s="225">
        <f t="shared" si="0"/>
        <v>24</v>
      </c>
    </row>
    <row r="7" spans="2:15">
      <c r="B7" s="361" t="s">
        <v>2796</v>
      </c>
      <c r="C7" s="362"/>
      <c r="E7" s="244">
        <v>75</v>
      </c>
      <c r="F7" s="227">
        <f>SUM(F4:F6)</f>
        <v>82</v>
      </c>
      <c r="G7" s="228">
        <f t="shared" ref="G7:H7" si="1">SUM(G4:G6)</f>
        <v>0</v>
      </c>
      <c r="H7" s="229">
        <f t="shared" si="1"/>
        <v>4</v>
      </c>
      <c r="J7" s="230">
        <f t="shared" ref="J7:N7" si="2">SUM(J4:J6)</f>
        <v>6</v>
      </c>
      <c r="K7" s="230">
        <f t="shared" si="2"/>
        <v>0</v>
      </c>
      <c r="L7" s="230">
        <f t="shared" si="2"/>
        <v>22</v>
      </c>
      <c r="M7" s="230">
        <f t="shared" si="2"/>
        <v>53</v>
      </c>
      <c r="N7" s="232">
        <f t="shared" si="2"/>
        <v>1</v>
      </c>
      <c r="O7" s="231">
        <f t="shared" si="0"/>
        <v>81</v>
      </c>
    </row>
    <row r="8" spans="2:15" ht="5.25" customHeight="1">
      <c r="B8" s="193"/>
      <c r="C8" s="201"/>
      <c r="F8" s="220"/>
      <c r="G8" s="221"/>
      <c r="H8" s="222"/>
      <c r="N8" s="274"/>
      <c r="O8" s="273"/>
    </row>
    <row r="9" spans="2:15">
      <c r="B9" s="194" t="s">
        <v>2801</v>
      </c>
      <c r="C9" s="198" t="s">
        <v>533</v>
      </c>
      <c r="E9" s="242"/>
      <c r="F9" s="225">
        <f>COUNTIF(취합!$B:$B,결과!C9)</f>
        <v>6</v>
      </c>
      <c r="G9" s="11">
        <f>IF(COUNTIFS(취합!$B:$B,결과!C9,취합!$AA:$AA,G$1)=0,"",COUNTIFS(취합!$B:$B,결과!C9,취합!$AA:$AA,G$1))</f>
        <v>6</v>
      </c>
      <c r="H9" s="226" t="str">
        <f>IF(COUNTIFS(취합!$B:$B,결과!C9, 취합!$AA:$AA,H$1)=0,"",COUNTIFS(취합!$B:$B,결과!C9, 취합!$AA:$AA,H$1))</f>
        <v/>
      </c>
      <c r="J9" s="11" t="str">
        <f>IF(COUNTIFS(취합!$B:$B,결과!$C9,취합!$H:$H,"계획중")=0,"",COUNTIFS(취합!$B:$B,결과!$C9,취합!$H:$H,"계획중"))</f>
        <v/>
      </c>
      <c r="K9" s="11" t="str">
        <f>IF(COUNTIFS(취합!$B:$B,결과!$C9,취합!$H:$H,"제안중")=0,"",COUNTIFS(취합!$B:$B,결과!$C9,취합!$H:$H,"제안중"))</f>
        <v/>
      </c>
      <c r="L9" s="11">
        <f>IF(COUNTIFS(취합!$B:$B,결과!$C9,취합!$H:$H,"개발중")=0,"",COUNTIFS(취합!$B:$B,결과!$C9,취합!$H:$H,"개발중"))</f>
        <v>2</v>
      </c>
      <c r="M9" s="11">
        <f>IF(COUNTIFS(취합!$B:$B,결과!$C9,취합!$H:$H,"제정완료")=0,"",COUNTIFS(취합!$B:$B,결과!$C9,취합!$H:$H,"제정완료"))</f>
        <v>4</v>
      </c>
      <c r="N9" s="226" t="str">
        <f>IF(COUNTIFS(취합!$B:$B,결과!$C9,취합!$H:$H,"개발중단")=0,"",COUNTIFS(취합!$B:$B,결과!$C9,취합!$H:$H,"개발중단"))</f>
        <v/>
      </c>
      <c r="O9" s="225">
        <f t="shared" ref="O9:O12" si="3">IF(N9="", SUM(J9:M9), SUM(J9:M9))</f>
        <v>6</v>
      </c>
    </row>
    <row r="10" spans="2:15">
      <c r="B10" s="194" t="s">
        <v>547</v>
      </c>
      <c r="C10" s="198" t="s">
        <v>759</v>
      </c>
      <c r="E10" s="243"/>
      <c r="F10" s="225">
        <f>COUNTIF(취합!$B:$B,결과!C10)</f>
        <v>5</v>
      </c>
      <c r="G10" s="11">
        <f>IF(COUNTIFS(취합!$B:$B,결과!C10,취합!$AA:$AA,G$1)=0,"",COUNTIFS(취합!$B:$B,결과!C10,취합!$AA:$AA,G$1))</f>
        <v>2</v>
      </c>
      <c r="H10" s="226">
        <f>IF(COUNTIFS(취합!$B:$B,결과!C10, 취합!$AA:$AA,H$1)=0,"",COUNTIFS(취합!$B:$B,결과!C10, 취합!$AA:$AA,H$1))</f>
        <v>1</v>
      </c>
      <c r="J10" s="11" t="str">
        <f>IF(COUNTIFS(취합!$B:$B,결과!$C10,취합!$H:$H,"계획중")=0,"",COUNTIFS(취합!$B:$B,결과!$C10,취합!$H:$H,"계획중"))</f>
        <v/>
      </c>
      <c r="K10" s="11" t="str">
        <f>IF(COUNTIFS(취합!$B:$B,결과!$C10,취합!$H:$H,"제안중")=0,"",COUNTIFS(취합!$B:$B,결과!$C10,취합!$H:$H,"제안중"))</f>
        <v/>
      </c>
      <c r="L10" s="11">
        <f>IF(COUNTIFS(취합!$B:$B,결과!$C10,취합!$H:$H,"개발중")=0,"",COUNTIFS(취합!$B:$B,결과!$C10,취합!$H:$H,"개발중"))</f>
        <v>1</v>
      </c>
      <c r="M10" s="11">
        <f>IF(COUNTIFS(취합!$B:$B,결과!$C10,취합!$H:$H,"제정완료")=0,"",COUNTIFS(취합!$B:$B,결과!$C10,취합!$H:$H,"제정완료"))</f>
        <v>4</v>
      </c>
      <c r="N10" s="226" t="str">
        <f>IF(COUNTIFS(취합!$B:$B,결과!$C10,취합!$H:$H,"개발중단")=0,"",COUNTIFS(취합!$B:$B,결과!$C10,취합!$H:$H,"개발중단"))</f>
        <v/>
      </c>
      <c r="O10" s="225">
        <f t="shared" si="3"/>
        <v>5</v>
      </c>
    </row>
    <row r="11" spans="2:15">
      <c r="B11" s="194" t="s">
        <v>547</v>
      </c>
      <c r="C11" s="198" t="s">
        <v>2410</v>
      </c>
      <c r="E11" s="243"/>
      <c r="F11" s="225">
        <f>COUNTIF(취합!$B:$B,결과!C11)</f>
        <v>4</v>
      </c>
      <c r="G11" s="11">
        <f>IF(COUNTIFS(취합!$B:$B,결과!C11,취합!$AA:$AA,G$1)=0,"",COUNTIFS(취합!$B:$B,결과!C11,취합!$AA:$AA,G$1))</f>
        <v>2</v>
      </c>
      <c r="H11" s="226" t="str">
        <f>IF(COUNTIFS(취합!$B:$B,결과!C11, 취합!$AA:$AA,H$1)=0,"",COUNTIFS(취합!$B:$B,결과!C11, 취합!$AA:$AA,H$1))</f>
        <v/>
      </c>
      <c r="J11" s="11" t="str">
        <f>IF(COUNTIFS(취합!$B:$B,결과!$C11,취합!$H:$H,"계획중")=0,"",COUNTIFS(취합!$B:$B,결과!$C11,취합!$H:$H,"계획중"))</f>
        <v/>
      </c>
      <c r="K11" s="11">
        <f>IF(COUNTIFS(취합!$B:$B,결과!$C11,취합!$H:$H,"제안중")=0,"",COUNTIFS(취합!$B:$B,결과!$C11,취합!$H:$H,"제안중"))</f>
        <v>2</v>
      </c>
      <c r="L11" s="11">
        <f>IF(COUNTIFS(취합!$B:$B,결과!$C11,취합!$H:$H,"개발중")=0,"",COUNTIFS(취합!$B:$B,결과!$C11,취합!$H:$H,"개발중"))</f>
        <v>2</v>
      </c>
      <c r="M11" s="11" t="str">
        <f>IF(COUNTIFS(취합!$B:$B,결과!$C11,취합!$H:$H,"제정완료")=0,"",COUNTIFS(취합!$B:$B,결과!$C11,취합!$H:$H,"제정완료"))</f>
        <v/>
      </c>
      <c r="N11" s="226" t="str">
        <f>IF(COUNTIFS(취합!$B:$B,결과!$C11,취합!$H:$H,"개발중단")=0,"",COUNTIFS(취합!$B:$B,결과!$C11,취합!$H:$H,"개발중단"))</f>
        <v/>
      </c>
      <c r="O11" s="225">
        <f t="shared" si="3"/>
        <v>4</v>
      </c>
    </row>
    <row r="12" spans="2:15">
      <c r="B12" s="359" t="s">
        <v>2796</v>
      </c>
      <c r="C12" s="360"/>
      <c r="E12" s="244">
        <v>15</v>
      </c>
      <c r="F12" s="231">
        <f>SUM(F9:F11)</f>
        <v>15</v>
      </c>
      <c r="G12" s="230">
        <f t="shared" ref="G12:H12" si="4">SUM(G9:G11)</f>
        <v>10</v>
      </c>
      <c r="H12" s="232">
        <f t="shared" si="4"/>
        <v>1</v>
      </c>
      <c r="J12" s="230">
        <f t="shared" ref="J12:N12" si="5">SUM(J9:J11)</f>
        <v>0</v>
      </c>
      <c r="K12" s="230">
        <f t="shared" si="5"/>
        <v>2</v>
      </c>
      <c r="L12" s="230">
        <f t="shared" si="5"/>
        <v>5</v>
      </c>
      <c r="M12" s="230">
        <f t="shared" si="5"/>
        <v>8</v>
      </c>
      <c r="N12" s="232">
        <f t="shared" si="5"/>
        <v>0</v>
      </c>
      <c r="O12" s="231">
        <f t="shared" si="3"/>
        <v>15</v>
      </c>
    </row>
    <row r="13" spans="2:15" ht="6" customHeight="1">
      <c r="B13" s="195"/>
      <c r="F13" s="233"/>
      <c r="G13" s="7"/>
      <c r="H13" s="234"/>
      <c r="N13" s="274"/>
      <c r="O13" s="273"/>
    </row>
    <row r="14" spans="2:15">
      <c r="B14" s="194" t="s">
        <v>2802</v>
      </c>
      <c r="C14" s="198" t="s">
        <v>549</v>
      </c>
      <c r="E14" s="242"/>
      <c r="F14" s="225">
        <f>COUNTIF(취합!$B:$B,결과!C14)</f>
        <v>65</v>
      </c>
      <c r="G14" s="11">
        <f>IF(COUNTIFS(취합!$B:$B,결과!C14,취합!$AA:$AA,G$1)=0,"",COUNTIFS(취합!$B:$B,결과!C14,취합!$AA:$AA,G$1))</f>
        <v>4</v>
      </c>
      <c r="H14" s="226">
        <f>IF(COUNTIFS(취합!$B:$B,결과!C14, 취합!$AA:$AA,H$1)=0,"",COUNTIFS(취합!$B:$B,결과!C14, 취합!$AA:$AA,H$1))</f>
        <v>13</v>
      </c>
      <c r="J14" s="11">
        <f>IF(COUNTIFS(취합!$B:$B,결과!$C14,취합!$H:$H,"계획중")=0,"",COUNTIFS(취합!$B:$B,결과!$C14,취합!$H:$H,"계획중"))</f>
        <v>1</v>
      </c>
      <c r="K14" s="11">
        <f>IF(COUNTIFS(취합!$B:$B,결과!$C14,취합!$H:$H,"제안중")=0,"",COUNTIFS(취합!$B:$B,결과!$C14,취합!$H:$H,"제안중"))</f>
        <v>4</v>
      </c>
      <c r="L14" s="11">
        <f>IF(COUNTIFS(취합!$B:$B,결과!$C14,취합!$H:$H,"개발중")=0,"",COUNTIFS(취합!$B:$B,결과!$C14,취합!$H:$H,"개발중"))</f>
        <v>18</v>
      </c>
      <c r="M14" s="11">
        <f>IF(COUNTIFS(취합!$B:$B,결과!$C14,취합!$H:$H,"제정완료")=0,"",COUNTIFS(취합!$B:$B,결과!$C14,취합!$H:$H,"제정완료"))</f>
        <v>41</v>
      </c>
      <c r="N14" s="226">
        <f>IF(COUNTIFS(취합!$B:$B,결과!$C14,취합!$H:$H,"개발중단")=0,"",COUNTIFS(취합!$B:$B,결과!$C14,취합!$H:$H,"개발중단"))</f>
        <v>1</v>
      </c>
      <c r="O14" s="225">
        <f t="shared" ref="O14:O16" si="6">IF(N14="", SUM(J14:M14), SUM(J14:M14))</f>
        <v>64</v>
      </c>
    </row>
    <row r="15" spans="2:15">
      <c r="B15" s="194" t="s">
        <v>548</v>
      </c>
      <c r="C15" s="198" t="s">
        <v>658</v>
      </c>
      <c r="E15" s="243"/>
      <c r="F15" s="225">
        <f>COUNTIF(취합!$B:$B,결과!C15)</f>
        <v>35</v>
      </c>
      <c r="G15" s="11" t="str">
        <f>IF(COUNTIFS(취합!$B:$B,결과!C15,취합!$AA:$AA,G$1)=0,"",COUNTIFS(취합!$B:$B,결과!C15,취합!$AA:$AA,G$1))</f>
        <v/>
      </c>
      <c r="H15" s="226">
        <f>IF(COUNTIFS(취합!$B:$B,결과!C15, 취합!$AA:$AA,H$1)=0,"",COUNTIFS(취합!$B:$B,결과!C15, 취합!$AA:$AA,H$1))</f>
        <v>5</v>
      </c>
      <c r="J15" s="11">
        <f>IF(COUNTIFS(취합!$B:$B,결과!$C15,취합!$H:$H,"계획중")=0,"",COUNTIFS(취합!$B:$B,결과!$C15,취합!$H:$H,"계획중"))</f>
        <v>2</v>
      </c>
      <c r="K15" s="11">
        <f>IF(COUNTIFS(취합!$B:$B,결과!$C15,취합!$H:$H,"제안중")=0,"",COUNTIFS(취합!$B:$B,결과!$C15,취합!$H:$H,"제안중"))</f>
        <v>7</v>
      </c>
      <c r="L15" s="11">
        <f>IF(COUNTIFS(취합!$B:$B,결과!$C15,취합!$H:$H,"개발중")=0,"",COUNTIFS(취합!$B:$B,결과!$C15,취합!$H:$H,"개발중"))</f>
        <v>14</v>
      </c>
      <c r="M15" s="11">
        <f>IF(COUNTIFS(취합!$B:$B,결과!$C15,취합!$H:$H,"제정완료")=0,"",COUNTIFS(취합!$B:$B,결과!$C15,취합!$H:$H,"제정완료"))</f>
        <v>12</v>
      </c>
      <c r="N15" s="226" t="str">
        <f>IF(COUNTIFS(취합!$B:$B,결과!$C15,취합!$H:$H,"개발중단")=0,"",COUNTIFS(취합!$B:$B,결과!$C15,취합!$H:$H,"개발중단"))</f>
        <v/>
      </c>
      <c r="O15" s="225">
        <f t="shared" si="6"/>
        <v>35</v>
      </c>
    </row>
    <row r="16" spans="2:15">
      <c r="B16" s="194" t="s">
        <v>548</v>
      </c>
      <c r="C16" s="198" t="s">
        <v>2790</v>
      </c>
      <c r="E16" s="243"/>
      <c r="F16" s="225">
        <f>COUNTIF(취합!$B:$B,결과!C16)</f>
        <v>29</v>
      </c>
      <c r="G16" s="11">
        <f>IF(COUNTIFS(취합!$B:$B,결과!C16,취합!$AA:$AA,G$1)=0,"",COUNTIFS(취합!$B:$B,결과!C16,취합!$AA:$AA,G$1))</f>
        <v>7</v>
      </c>
      <c r="H16" s="226">
        <f>IF(COUNTIFS(취합!$B:$B,결과!C16, 취합!$AA:$AA,H$1)=0,"",COUNTIFS(취합!$B:$B,결과!C16, 취합!$AA:$AA,H$1))</f>
        <v>8</v>
      </c>
      <c r="J16" s="11">
        <f>IF(COUNTIFS(취합!$B:$B,결과!$C16,취합!$H:$H,"계획중")=0,"",COUNTIFS(취합!$B:$B,결과!$C16,취합!$H:$H,"계획중"))</f>
        <v>7</v>
      </c>
      <c r="K16" s="11">
        <f>IF(COUNTIFS(취합!$B:$B,결과!$C16,취합!$H:$H,"제안중")=0,"",COUNTIFS(취합!$B:$B,결과!$C16,취합!$H:$H,"제안중"))</f>
        <v>1</v>
      </c>
      <c r="L16" s="11">
        <f>IF(COUNTIFS(취합!$B:$B,결과!$C16,취합!$H:$H,"개발중")=0,"",COUNTIFS(취합!$B:$B,결과!$C16,취합!$H:$H,"개발중"))</f>
        <v>20</v>
      </c>
      <c r="M16" s="11">
        <f>IF(COUNTIFS(취합!$B:$B,결과!$C16,취합!$H:$H,"제정완료")=0,"",COUNTIFS(취합!$B:$B,결과!$C16,취합!$H:$H,"제정완료"))</f>
        <v>1</v>
      </c>
      <c r="N16" s="226" t="str">
        <f>IF(COUNTIFS(취합!$B:$B,결과!$C16,취합!$H:$H,"개발중단")=0,"",COUNTIFS(취합!$B:$B,결과!$C16,취합!$H:$H,"개발중단"))</f>
        <v/>
      </c>
      <c r="O16" s="225">
        <f t="shared" si="6"/>
        <v>29</v>
      </c>
    </row>
    <row r="17" spans="2:15">
      <c r="B17" s="194" t="s">
        <v>548</v>
      </c>
      <c r="C17" s="198" t="s">
        <v>698</v>
      </c>
      <c r="E17" s="243"/>
      <c r="F17" s="225">
        <f>COUNTIF(취합!$B:$B,결과!C17)</f>
        <v>21</v>
      </c>
      <c r="G17" s="11" t="str">
        <f>IF(COUNTIFS(취합!$B:$B,결과!C17,취합!$AA:$AA,G$1)=0,"",COUNTIFS(취합!$B:$B,결과!C17,취합!$AA:$AA,G$1))</f>
        <v/>
      </c>
      <c r="H17" s="226">
        <f>IF(COUNTIFS(취합!$B:$B,결과!C17, 취합!$AA:$AA,H$1)=0,"",COUNTIFS(취합!$B:$B,결과!C17, 취합!$AA:$AA,H$1))</f>
        <v>3</v>
      </c>
      <c r="J17" s="11" t="str">
        <f>IF(COUNTIFS(취합!$B:$B,결과!$C17,취합!$H:$H,"계획중")=0,"",COUNTIFS(취합!$B:$B,결과!$C17,취합!$H:$H,"계획중"))</f>
        <v/>
      </c>
      <c r="K17" s="11" t="str">
        <f>IF(COUNTIFS(취합!$B:$B,결과!$C17,취합!$H:$H,"제안중")=0,"",COUNTIFS(취합!$B:$B,결과!$C17,취합!$H:$H,"제안중"))</f>
        <v/>
      </c>
      <c r="L17" s="11">
        <f>IF(COUNTIFS(취합!$B:$B,결과!$C17,취합!$H:$H,"개발중")=0,"",COUNTIFS(취합!$B:$B,결과!$C17,취합!$H:$H,"개발중"))</f>
        <v>8</v>
      </c>
      <c r="M17" s="11">
        <f>IF(COUNTIFS(취합!$B:$B,결과!$C17,취합!$H:$H,"제정완료")=0,"",COUNTIFS(취합!$B:$B,결과!$C17,취합!$H:$H,"제정완료"))</f>
        <v>13</v>
      </c>
      <c r="N17" s="226" t="str">
        <f>IF(COUNTIFS(취합!$B:$B,결과!$C17,취합!$H:$H,"개발중단")=0,"",COUNTIFS(취합!$B:$B,결과!$C17,취합!$H:$H,"개발중단"))</f>
        <v/>
      </c>
      <c r="O17" s="225">
        <f>IF(N17="", SUM(J17:M17), SUM(J17:M17))</f>
        <v>21</v>
      </c>
    </row>
    <row r="18" spans="2:15">
      <c r="B18" s="361" t="s">
        <v>2796</v>
      </c>
      <c r="C18" s="362"/>
      <c r="E18" s="244">
        <v>134</v>
      </c>
      <c r="F18" s="227">
        <f>SUM(F14:F17)</f>
        <v>150</v>
      </c>
      <c r="G18" s="228">
        <f t="shared" ref="G18:H18" si="7">SUM(G14:G17)</f>
        <v>11</v>
      </c>
      <c r="H18" s="229">
        <f t="shared" si="7"/>
        <v>29</v>
      </c>
      <c r="J18" s="230">
        <f t="shared" ref="J18:N18" si="8">SUM(J14:J17)</f>
        <v>10</v>
      </c>
      <c r="K18" s="230">
        <f t="shared" si="8"/>
        <v>12</v>
      </c>
      <c r="L18" s="230">
        <f t="shared" si="8"/>
        <v>60</v>
      </c>
      <c r="M18" s="230">
        <f t="shared" si="8"/>
        <v>67</v>
      </c>
      <c r="N18" s="232">
        <f t="shared" si="8"/>
        <v>1</v>
      </c>
      <c r="O18" s="231">
        <f t="shared" ref="O18" si="9">IF(N18="", SUM(J18:M18), SUM(J18:M18))</f>
        <v>149</v>
      </c>
    </row>
    <row r="19" spans="2:15" ht="4.5" customHeight="1">
      <c r="B19" s="193"/>
      <c r="C19" s="201"/>
      <c r="F19" s="220"/>
      <c r="G19" s="221"/>
      <c r="H19" s="222"/>
      <c r="N19" s="274"/>
      <c r="O19" s="273"/>
    </row>
    <row r="20" spans="2:15">
      <c r="B20" s="194" t="s">
        <v>2803</v>
      </c>
      <c r="C20" s="198" t="s">
        <v>482</v>
      </c>
      <c r="E20" s="242"/>
      <c r="F20" s="225">
        <f>COUNTIF(취합!$B:$B,결과!C20)</f>
        <v>35</v>
      </c>
      <c r="G20" s="11">
        <f>IF(COUNTIFS(취합!$B:$B,결과!C20,취합!$AA:$AA,G$1)=0,"",COUNTIFS(취합!$B:$B,결과!C20,취합!$AA:$AA,G$1))</f>
        <v>9</v>
      </c>
      <c r="H20" s="226">
        <f>IF(COUNTIFS(취합!$B:$B,결과!C20, 취합!$AA:$AA,H$1)=0,"",COUNTIFS(취합!$B:$B,결과!C20, 취합!$AA:$AA,H$1))</f>
        <v>2</v>
      </c>
      <c r="J20" s="11">
        <f>IF(COUNTIFS(취합!$B:$B,결과!$C20,취합!$H:$H,"계획중")=0,"",COUNTIFS(취합!$B:$B,결과!$C20,취합!$H:$H,"계획중"))</f>
        <v>4</v>
      </c>
      <c r="K20" s="11" t="str">
        <f>IF(COUNTIFS(취합!$B:$B,결과!$C20,취합!$H:$H,"제안중")=0,"",COUNTIFS(취합!$B:$B,결과!$C20,취합!$H:$H,"제안중"))</f>
        <v/>
      </c>
      <c r="L20" s="11">
        <f>IF(COUNTIFS(취합!$B:$B,결과!$C20,취합!$H:$H,"개발중")=0,"",COUNTIFS(취합!$B:$B,결과!$C20,취합!$H:$H,"개발중"))</f>
        <v>19</v>
      </c>
      <c r="M20" s="11">
        <f>IF(COUNTIFS(취합!$B:$B,결과!$C20,취합!$H:$H,"제정완료")=0,"",COUNTIFS(취합!$B:$B,결과!$C20,취합!$H:$H,"제정완료"))</f>
        <v>12</v>
      </c>
      <c r="N20" s="226" t="str">
        <f>IF(COUNTIFS(취합!$B:$B,결과!$C20,취합!$H:$H,"개발중단")=0,"",COUNTIFS(취합!$B:$B,결과!$C20,취합!$H:$H,"개발중단"))</f>
        <v/>
      </c>
      <c r="O20" s="225">
        <f t="shared" ref="O20:O23" si="10">IF(N20="", SUM(J20:M20), SUM(J20:M20))</f>
        <v>35</v>
      </c>
    </row>
    <row r="21" spans="2:15">
      <c r="B21" s="194" t="s">
        <v>456</v>
      </c>
      <c r="C21" s="198" t="s">
        <v>2791</v>
      </c>
      <c r="E21" s="243"/>
      <c r="F21" s="225">
        <f>COUNTIF(취합!$B:$B,결과!C21)</f>
        <v>12</v>
      </c>
      <c r="G21" s="11">
        <f>IF(COUNTIFS(취합!$B:$B,결과!C21,취합!$AA:$AA,G$1)=0,"",COUNTIFS(취합!$B:$B,결과!C21,취합!$AA:$AA,G$1))</f>
        <v>5</v>
      </c>
      <c r="H21" s="226">
        <f>IF(COUNTIFS(취합!$B:$B,결과!C21, 취합!$AA:$AA,H$1)=0,"",COUNTIFS(취합!$B:$B,결과!C21, 취합!$AA:$AA,H$1))</f>
        <v>4</v>
      </c>
      <c r="J21" s="11" t="str">
        <f>IF(COUNTIFS(취합!$B:$B,결과!$C21,취합!$H:$H,"계획중")=0,"",COUNTIFS(취합!$B:$B,결과!$C21,취합!$H:$H,"계획중"))</f>
        <v/>
      </c>
      <c r="K21" s="11">
        <f>IF(COUNTIFS(취합!$B:$B,결과!$C21,취합!$H:$H,"제안중")=0,"",COUNTIFS(취합!$B:$B,결과!$C21,취합!$H:$H,"제안중"))</f>
        <v>1</v>
      </c>
      <c r="L21" s="11">
        <f>IF(COUNTIFS(취합!$B:$B,결과!$C21,취합!$H:$H,"개발중")=0,"",COUNTIFS(취합!$B:$B,결과!$C21,취합!$H:$H,"개발중"))</f>
        <v>3</v>
      </c>
      <c r="M21" s="11">
        <f>IF(COUNTIFS(취합!$B:$B,결과!$C21,취합!$H:$H,"제정완료")=0,"",COUNTIFS(취합!$B:$B,결과!$C21,취합!$H:$H,"제정완료"))</f>
        <v>8</v>
      </c>
      <c r="N21" s="226" t="str">
        <f>IF(COUNTIFS(취합!$B:$B,결과!$C21,취합!$H:$H,"개발중단")=0,"",COUNTIFS(취합!$B:$B,결과!$C21,취합!$H:$H,"개발중단"))</f>
        <v/>
      </c>
      <c r="O21" s="225">
        <f t="shared" si="10"/>
        <v>12</v>
      </c>
    </row>
    <row r="22" spans="2:15">
      <c r="B22" s="194" t="s">
        <v>456</v>
      </c>
      <c r="C22" s="198" t="s">
        <v>2792</v>
      </c>
      <c r="E22" s="243"/>
      <c r="F22" s="225">
        <f>COUNTIF(취합!$B:$B,결과!C22)</f>
        <v>12</v>
      </c>
      <c r="G22" s="11">
        <f>IF(COUNTIFS(취합!$B:$B,결과!C22,취합!$AA:$AA,G$1)=0,"",COUNTIFS(취합!$B:$B,결과!C22,취합!$AA:$AA,G$1))</f>
        <v>8</v>
      </c>
      <c r="H22" s="226" t="str">
        <f>IF(COUNTIFS(취합!$B:$B,결과!C22, 취합!$AA:$AA,H$1)=0,"",COUNTIFS(취합!$B:$B,결과!C22, 취합!$AA:$AA,H$1))</f>
        <v/>
      </c>
      <c r="J22" s="11">
        <f>IF(COUNTIFS(취합!$B:$B,결과!$C22,취합!$H:$H,"계획중")=0,"",COUNTIFS(취합!$B:$B,결과!$C22,취합!$H:$H,"계획중"))</f>
        <v>3</v>
      </c>
      <c r="K22" s="11" t="str">
        <f>IF(COUNTIFS(취합!$B:$B,결과!$C22,취합!$H:$H,"제안중")=0,"",COUNTIFS(취합!$B:$B,결과!$C22,취합!$H:$H,"제안중"))</f>
        <v/>
      </c>
      <c r="L22" s="11">
        <f>IF(COUNTIFS(취합!$B:$B,결과!$C22,취합!$H:$H,"개발중")=0,"",COUNTIFS(취합!$B:$B,결과!$C22,취합!$H:$H,"개발중"))</f>
        <v>5</v>
      </c>
      <c r="M22" s="11">
        <f>IF(COUNTIFS(취합!$B:$B,결과!$C22,취합!$H:$H,"제정완료")=0,"",COUNTIFS(취합!$B:$B,결과!$C22,취합!$H:$H,"제정완료"))</f>
        <v>4</v>
      </c>
      <c r="N22" s="226" t="str">
        <f>IF(COUNTIFS(취합!$B:$B,결과!$C22,취합!$H:$H,"개발중단")=0,"",COUNTIFS(취합!$B:$B,결과!$C22,취합!$H:$H,"개발중단"))</f>
        <v/>
      </c>
      <c r="O22" s="225">
        <f t="shared" si="10"/>
        <v>12</v>
      </c>
    </row>
    <row r="23" spans="2:15">
      <c r="B23" s="361" t="s">
        <v>2796</v>
      </c>
      <c r="C23" s="362"/>
      <c r="E23" s="244">
        <v>57</v>
      </c>
      <c r="F23" s="227">
        <f>SUM(F20:F22)</f>
        <v>59</v>
      </c>
      <c r="G23" s="228">
        <f t="shared" ref="G23:H23" si="11">SUM(G20:G22)</f>
        <v>22</v>
      </c>
      <c r="H23" s="229">
        <f t="shared" si="11"/>
        <v>6</v>
      </c>
      <c r="J23" s="230">
        <f t="shared" ref="J23:N23" si="12">SUM(J20:J22)</f>
        <v>7</v>
      </c>
      <c r="K23" s="230">
        <f t="shared" si="12"/>
        <v>1</v>
      </c>
      <c r="L23" s="230">
        <f t="shared" si="12"/>
        <v>27</v>
      </c>
      <c r="M23" s="230">
        <f t="shared" si="12"/>
        <v>24</v>
      </c>
      <c r="N23" s="232">
        <f t="shared" si="12"/>
        <v>0</v>
      </c>
      <c r="O23" s="231">
        <f t="shared" si="10"/>
        <v>59</v>
      </c>
    </row>
    <row r="24" spans="2:15" ht="5.25" customHeight="1">
      <c r="B24" s="193"/>
      <c r="C24" s="201"/>
      <c r="F24" s="220"/>
      <c r="G24" s="221"/>
      <c r="H24" s="222"/>
      <c r="N24" s="274"/>
      <c r="O24" s="273"/>
    </row>
    <row r="25" spans="2:15">
      <c r="B25" s="196" t="s">
        <v>2804</v>
      </c>
      <c r="C25" s="202" t="s">
        <v>1282</v>
      </c>
      <c r="E25" s="242"/>
      <c r="F25" s="235">
        <f>COUNTIF(취합!$B:$B,결과!C25)</f>
        <v>20</v>
      </c>
      <c r="G25" s="11" t="str">
        <f>IF(COUNTIFS(취합!$B:$B,결과!C25,취합!$AA:$AA,G$1)=0,"",COUNTIFS(취합!$B:$B,결과!C25,취합!$AA:$AA,G$1))</f>
        <v/>
      </c>
      <c r="H25" s="226">
        <f>IF(COUNTIFS(취합!$B:$B,결과!C25, 취합!$AA:$AA,H$1)=0,"",COUNTIFS(취합!$B:$B,결과!C25, 취합!$AA:$AA,H$1))</f>
        <v>6</v>
      </c>
      <c r="J25" s="11" t="str">
        <f>IF(COUNTIFS(취합!$B:$B,결과!$C25,취합!$H:$H,"계획중")=0,"",COUNTIFS(취합!$B:$B,결과!$C25,취합!$H:$H,"계획중"))</f>
        <v/>
      </c>
      <c r="K25" s="11" t="str">
        <f>IF(COUNTIFS(취합!$B:$B,결과!$C25,취합!$H:$H,"제안중")=0,"",COUNTIFS(취합!$B:$B,결과!$C25,취합!$H:$H,"제안중"))</f>
        <v/>
      </c>
      <c r="L25" s="11">
        <f>IF(COUNTIFS(취합!$B:$B,결과!$C25,취합!$H:$H,"개발중")=0,"",COUNTIFS(취합!$B:$B,결과!$C25,취합!$H:$H,"개발중"))</f>
        <v>2</v>
      </c>
      <c r="M25" s="11">
        <f>IF(COUNTIFS(취합!$B:$B,결과!$C25,취합!$H:$H,"제정완료")=0,"",COUNTIFS(취합!$B:$B,결과!$C25,취합!$H:$H,"제정완료"))</f>
        <v>18</v>
      </c>
      <c r="N25" s="226" t="str">
        <f>IF(COUNTIFS(취합!$B:$B,결과!$C25,취합!$H:$H,"개발중단")=0,"",COUNTIFS(취합!$B:$B,결과!$C25,취합!$H:$H,"개발중단"))</f>
        <v/>
      </c>
      <c r="O25" s="225">
        <f t="shared" ref="O25:O27" si="13">IF(N25="", SUM(J25:M25), SUM(J25:M25))</f>
        <v>20</v>
      </c>
    </row>
    <row r="26" spans="2:15">
      <c r="B26" s="194" t="s">
        <v>440</v>
      </c>
      <c r="C26" s="198" t="s">
        <v>1896</v>
      </c>
      <c r="E26" s="243"/>
      <c r="F26" s="225">
        <f>COUNTIF(취합!$B:$B,결과!C26)</f>
        <v>8</v>
      </c>
      <c r="G26" s="11" t="str">
        <f>IF(COUNTIFS(취합!$B:$B,결과!C26,취합!$AA:$AA,G$1)=0,"",COUNTIFS(취합!$B:$B,결과!C26,취합!$AA:$AA,G$1))</f>
        <v/>
      </c>
      <c r="H26" s="226">
        <f>IF(COUNTIFS(취합!$B:$B,결과!C26, 취합!$AA:$AA,H$1)=0,"",COUNTIFS(취합!$B:$B,결과!C26, 취합!$AA:$AA,H$1))</f>
        <v>1</v>
      </c>
      <c r="J26" s="11" t="str">
        <f>IF(COUNTIFS(취합!$B:$B,결과!$C26,취합!$H:$H,"계획중")=0,"",COUNTIFS(취합!$B:$B,결과!$C26,취합!$H:$H,"계획중"))</f>
        <v/>
      </c>
      <c r="K26" s="11" t="str">
        <f>IF(COUNTIFS(취합!$B:$B,결과!$C26,취합!$H:$H,"제안중")=0,"",COUNTIFS(취합!$B:$B,결과!$C26,취합!$H:$H,"제안중"))</f>
        <v/>
      </c>
      <c r="L26" s="11">
        <f>IF(COUNTIFS(취합!$B:$B,결과!$C26,취합!$H:$H,"개발중")=0,"",COUNTIFS(취합!$B:$B,결과!$C26,취합!$H:$H,"개발중"))</f>
        <v>2</v>
      </c>
      <c r="M26" s="11">
        <f>IF(COUNTIFS(취합!$B:$B,결과!$C26,취합!$H:$H,"제정완료")=0,"",COUNTIFS(취합!$B:$B,결과!$C26,취합!$H:$H,"제정완료"))</f>
        <v>6</v>
      </c>
      <c r="N26" s="226" t="str">
        <f>IF(COUNTIFS(취합!$B:$B,결과!$C26,취합!$H:$H,"개발중단")=0,"",COUNTIFS(취합!$B:$B,결과!$C26,취합!$H:$H,"개발중단"))</f>
        <v/>
      </c>
      <c r="O26" s="225">
        <f t="shared" si="13"/>
        <v>8</v>
      </c>
    </row>
    <row r="27" spans="2:15">
      <c r="B27" s="361" t="s">
        <v>2796</v>
      </c>
      <c r="C27" s="362"/>
      <c r="E27" s="244">
        <v>25</v>
      </c>
      <c r="F27" s="227">
        <f>SUM(F25:F26)</f>
        <v>28</v>
      </c>
      <c r="G27" s="228">
        <f t="shared" ref="G27:H27" si="14">SUM(G25:G26)</f>
        <v>0</v>
      </c>
      <c r="H27" s="229">
        <f t="shared" si="14"/>
        <v>7</v>
      </c>
      <c r="J27" s="230">
        <f t="shared" ref="J27:N27" si="15">SUM(J25:J26)</f>
        <v>0</v>
      </c>
      <c r="K27" s="230">
        <f t="shared" si="15"/>
        <v>0</v>
      </c>
      <c r="L27" s="230">
        <f t="shared" si="15"/>
        <v>4</v>
      </c>
      <c r="M27" s="230">
        <f t="shared" si="15"/>
        <v>24</v>
      </c>
      <c r="N27" s="232">
        <f t="shared" si="15"/>
        <v>0</v>
      </c>
      <c r="O27" s="231">
        <f t="shared" si="13"/>
        <v>28</v>
      </c>
    </row>
    <row r="28" spans="2:15" ht="5.25" customHeight="1">
      <c r="B28" s="193"/>
      <c r="C28" s="201"/>
      <c r="F28" s="220"/>
      <c r="G28" s="221"/>
      <c r="H28" s="222"/>
      <c r="N28" s="274"/>
      <c r="O28" s="273"/>
    </row>
    <row r="29" spans="2:15">
      <c r="B29" s="194" t="s">
        <v>55</v>
      </c>
      <c r="C29" s="198" t="s">
        <v>56</v>
      </c>
      <c r="E29" s="242"/>
      <c r="F29" s="225">
        <f>COUNTIF(취합!$B:$B,결과!C29)</f>
        <v>313</v>
      </c>
      <c r="G29" s="11">
        <f>IF(COUNTIFS(취합!$B:$B,결과!C29,취합!$AA:$AA,G$1)=0,"",COUNTIFS(취합!$B:$B,결과!C29,취합!$AA:$AA,G$1))</f>
        <v>12</v>
      </c>
      <c r="H29" s="226">
        <f>IF(COUNTIFS(취합!$B:$B,결과!C29, 취합!$AA:$AA,H$1)=0,"",COUNTIFS(취합!$B:$B,결과!C29, 취합!$AA:$AA,H$1))</f>
        <v>37</v>
      </c>
      <c r="J29" s="11">
        <f>IF(COUNTIFS(취합!$B:$B,결과!$C29,취합!$H:$H,"계획중")=0,"",COUNTIFS(취합!$B:$B,결과!$C29,취합!$H:$H,"계획중"))</f>
        <v>7</v>
      </c>
      <c r="K29" s="11">
        <f>IF(COUNTIFS(취합!$B:$B,결과!$C29,취합!$H:$H,"제안중")=0,"",COUNTIFS(취합!$B:$B,결과!$C29,취합!$H:$H,"제안중"))</f>
        <v>9</v>
      </c>
      <c r="L29" s="11">
        <f>IF(COUNTIFS(취합!$B:$B,결과!$C29,취합!$H:$H,"개발중")=0,"",COUNTIFS(취합!$B:$B,결과!$C29,취합!$H:$H,"개발중"))</f>
        <v>72</v>
      </c>
      <c r="M29" s="11">
        <f>IF(COUNTIFS(취합!$B:$B,결과!$C29,취합!$H:$H,"제정완료")=0,"",COUNTIFS(취합!$B:$B,결과!$C29,취합!$H:$H,"제정완료"))</f>
        <v>223</v>
      </c>
      <c r="N29" s="226">
        <f>IF(COUNTIFS(취합!$B:$B,결과!$C29,취합!$H:$H,"개발중단")=0,"",COUNTIFS(취합!$B:$B,결과!$C29,취합!$H:$H,"개발중단"))</f>
        <v>2</v>
      </c>
      <c r="O29" s="225">
        <f>IF(N29="", SUM(J29:M29), SUM(J29:M29))</f>
        <v>311</v>
      </c>
    </row>
    <row r="30" spans="2:15">
      <c r="B30" s="361" t="s">
        <v>2796</v>
      </c>
      <c r="C30" s="362"/>
      <c r="E30" s="244">
        <v>287</v>
      </c>
      <c r="F30" s="227">
        <f>SUM(F29)</f>
        <v>313</v>
      </c>
      <c r="G30" s="228">
        <f t="shared" ref="G30:H30" si="16">SUM(G29)</f>
        <v>12</v>
      </c>
      <c r="H30" s="229">
        <f t="shared" si="16"/>
        <v>37</v>
      </c>
      <c r="J30" s="230">
        <f t="shared" ref="J30:N30" si="17">SUM(J29)</f>
        <v>7</v>
      </c>
      <c r="K30" s="230">
        <f t="shared" si="17"/>
        <v>9</v>
      </c>
      <c r="L30" s="230">
        <f t="shared" si="17"/>
        <v>72</v>
      </c>
      <c r="M30" s="230">
        <f t="shared" si="17"/>
        <v>223</v>
      </c>
      <c r="N30" s="232">
        <f t="shared" si="17"/>
        <v>2</v>
      </c>
      <c r="O30" s="231">
        <f t="shared" ref="O30" si="18">IF(N30="", SUM(J30:M30), SUM(J30:M30))</f>
        <v>311</v>
      </c>
    </row>
    <row r="31" spans="2:15" ht="4.5" customHeight="1">
      <c r="B31" s="193"/>
      <c r="C31" s="201"/>
      <c r="F31" s="220"/>
      <c r="G31" s="221"/>
      <c r="H31" s="222"/>
      <c r="N31" s="274"/>
      <c r="O31" s="273"/>
    </row>
    <row r="32" spans="2:15">
      <c r="B32" s="194" t="s">
        <v>2799</v>
      </c>
      <c r="C32" s="198" t="s">
        <v>2948</v>
      </c>
      <c r="E32" s="242"/>
      <c r="F32" s="225">
        <f>COUNTIF(취합!$B:$B,결과!C32)</f>
        <v>3</v>
      </c>
      <c r="G32" s="11">
        <f>IF(COUNTIFS(취합!$B:$B,결과!C32,취합!$AA:$AA,G$1)=0,"",COUNTIFS(취합!$B:$B,결과!C32,취합!$AA:$AA,G$1))</f>
        <v>2</v>
      </c>
      <c r="H32" s="226" t="str">
        <f>IF(COUNTIFS(취합!$B:$B,결과!C32, 취합!$AA:$AA,H$1)=0,"",COUNTIFS(취합!$B:$B,결과!C32, 취합!$AA:$AA,H$1))</f>
        <v/>
      </c>
      <c r="J32" s="11" t="str">
        <f>IF(COUNTIFS(취합!$B:$B,결과!$C32,취합!$H:$H,"계획중")=0,"",COUNTIFS(취합!$B:$B,결과!$C32,취합!$H:$H,"계획중"))</f>
        <v/>
      </c>
      <c r="K32" s="11" t="str">
        <f>IF(COUNTIFS(취합!$B:$B,결과!$C32,취합!$H:$H,"제안중")=0,"",COUNTIFS(취합!$B:$B,결과!$C32,취합!$H:$H,"제안중"))</f>
        <v/>
      </c>
      <c r="L32" s="11">
        <f>IF(COUNTIFS(취합!$B:$B,결과!$C32,취합!$H:$H,"개발중")=0,"",COUNTIFS(취합!$B:$B,결과!$C32,취합!$H:$H,"개발중"))</f>
        <v>3</v>
      </c>
      <c r="M32" s="11" t="str">
        <f>IF(COUNTIFS(취합!$B:$B,결과!$C32,취합!$H:$H,"제정완료")=0,"",COUNTIFS(취합!$B:$B,결과!$C32,취합!$H:$H,"제정완료"))</f>
        <v/>
      </c>
      <c r="N32" s="226" t="str">
        <f>IF(COUNTIFS(취합!$B:$B,결과!$C32,취합!$H:$H,"개발중단")=0,"",COUNTIFS(취합!$B:$B,결과!$C32,취합!$H:$H,"개발중단"))</f>
        <v/>
      </c>
      <c r="O32" s="225">
        <f>IF(N32="", SUM(J32:M32), SUM(J32:M32))</f>
        <v>3</v>
      </c>
    </row>
    <row r="33" spans="2:15">
      <c r="B33" s="361" t="s">
        <v>2796</v>
      </c>
      <c r="C33" s="362"/>
      <c r="E33" s="244"/>
      <c r="F33" s="227">
        <f>SUM(F32)</f>
        <v>3</v>
      </c>
      <c r="G33" s="228">
        <f t="shared" ref="G33" si="19">SUM(G32)</f>
        <v>2</v>
      </c>
      <c r="H33" s="229">
        <f t="shared" ref="H33" si="20">SUM(H32)</f>
        <v>0</v>
      </c>
      <c r="J33" s="230">
        <f t="shared" ref="J33:N33" si="21">SUM(J32)</f>
        <v>0</v>
      </c>
      <c r="K33" s="230">
        <f t="shared" si="21"/>
        <v>0</v>
      </c>
      <c r="L33" s="230">
        <f t="shared" si="21"/>
        <v>3</v>
      </c>
      <c r="M33" s="230">
        <f t="shared" si="21"/>
        <v>0</v>
      </c>
      <c r="N33" s="232">
        <f t="shared" si="21"/>
        <v>0</v>
      </c>
      <c r="O33" s="231">
        <f t="shared" ref="O33" si="22">IF(N33="", SUM(J33:M33), SUM(J33:M33))</f>
        <v>3</v>
      </c>
    </row>
    <row r="34" spans="2:15" ht="4.5" customHeight="1">
      <c r="B34" s="189"/>
      <c r="C34" s="201"/>
      <c r="F34" s="220"/>
      <c r="G34" s="221"/>
      <c r="H34" s="222"/>
      <c r="N34" s="274"/>
      <c r="O34" s="273"/>
    </row>
    <row r="35" spans="2:15">
      <c r="B35" s="357" t="s">
        <v>2797</v>
      </c>
      <c r="C35" s="358"/>
      <c r="E35" s="237">
        <f>SUM(E12,E23,E18,E7,E27,E30,E33)</f>
        <v>593</v>
      </c>
      <c r="F35" s="236">
        <f>SUM(F12,F23,F18,F7,F27,F30,F33)</f>
        <v>650</v>
      </c>
      <c r="G35" s="237">
        <f t="shared" ref="G35:O35" si="23">SUM(G12,G23,G18,G7,G27,G30,G33)</f>
        <v>57</v>
      </c>
      <c r="H35" s="238">
        <f t="shared" si="23"/>
        <v>84</v>
      </c>
      <c r="J35" s="237">
        <f t="shared" si="23"/>
        <v>30</v>
      </c>
      <c r="K35" s="237">
        <f t="shared" si="23"/>
        <v>24</v>
      </c>
      <c r="L35" s="237">
        <f t="shared" si="23"/>
        <v>193</v>
      </c>
      <c r="M35" s="237">
        <f t="shared" si="23"/>
        <v>399</v>
      </c>
      <c r="N35" s="238">
        <f t="shared" si="23"/>
        <v>4</v>
      </c>
      <c r="O35" s="236">
        <f t="shared" si="23"/>
        <v>646</v>
      </c>
    </row>
  </sheetData>
  <sortState xmlns:xlrd2="http://schemas.microsoft.com/office/spreadsheetml/2017/richdata2" ref="B4:C11">
    <sortCondition ref="B4:B11"/>
    <sortCondition ref="C4:C11"/>
  </sortState>
  <mergeCells count="11">
    <mergeCell ref="J1:N1"/>
    <mergeCell ref="E1:F1"/>
    <mergeCell ref="B35:C35"/>
    <mergeCell ref="B12:C12"/>
    <mergeCell ref="B33:C33"/>
    <mergeCell ref="B2:C2"/>
    <mergeCell ref="B30:C30"/>
    <mergeCell ref="B27:C27"/>
    <mergeCell ref="B7:C7"/>
    <mergeCell ref="B18:C18"/>
    <mergeCell ref="B23:C2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F35C0-D26D-4E96-8652-6906562535D3}">
  <dimension ref="B2:C9"/>
  <sheetViews>
    <sheetView workbookViewId="0">
      <selection activeCell="C3" sqref="C3:C8"/>
    </sheetView>
  </sheetViews>
  <sheetFormatPr defaultRowHeight="17.5"/>
  <cols>
    <col min="2" max="2" width="20.23046875" bestFit="1" customWidth="1"/>
  </cols>
  <sheetData>
    <row r="2" spans="2:3">
      <c r="C2" s="1" t="s">
        <v>2558</v>
      </c>
    </row>
    <row r="3" spans="2:3">
      <c r="B3" t="s">
        <v>736</v>
      </c>
      <c r="C3">
        <f>COUNTIF(취합!A:A, B3)</f>
        <v>82</v>
      </c>
    </row>
    <row r="4" spans="2:3">
      <c r="B4" t="s">
        <v>547</v>
      </c>
      <c r="C4">
        <f>COUNTIF(취합!A:A, B4)</f>
        <v>15</v>
      </c>
    </row>
    <row r="5" spans="2:3">
      <c r="B5" t="s">
        <v>548</v>
      </c>
      <c r="C5">
        <f>COUNTIF(취합!A:A, B5)</f>
        <v>150</v>
      </c>
    </row>
    <row r="6" spans="2:3">
      <c r="B6" t="s">
        <v>456</v>
      </c>
      <c r="C6">
        <f>COUNTIF(취합!A:A, B6)</f>
        <v>59</v>
      </c>
    </row>
    <row r="7" spans="2:3">
      <c r="B7" t="s">
        <v>440</v>
      </c>
      <c r="C7">
        <f>COUNTIF(취합!A:A, B7)</f>
        <v>28</v>
      </c>
    </row>
    <row r="8" spans="2:3">
      <c r="B8" t="s">
        <v>55</v>
      </c>
      <c r="C8">
        <f>COUNTIF(취합!A:A, B8)</f>
        <v>313</v>
      </c>
    </row>
    <row r="9" spans="2:3">
      <c r="C9">
        <f>SUM(C3:C8)</f>
        <v>647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8179-B590-4F7B-8D86-0F4407F1F2D6}">
  <dimension ref="A1:BG56"/>
  <sheetViews>
    <sheetView topLeftCell="F1" zoomScale="85" zoomScaleNormal="85" workbookViewId="0">
      <selection activeCell="R29" sqref="R29"/>
    </sheetView>
  </sheetViews>
  <sheetFormatPr defaultColWidth="8.69140625" defaultRowHeight="17.5"/>
  <cols>
    <col min="1" max="1" width="5.765625" hidden="1" customWidth="1"/>
    <col min="2" max="2" width="36.23046875" hidden="1" customWidth="1"/>
    <col min="3" max="3" width="6" hidden="1" customWidth="1"/>
    <col min="4" max="4" width="0" hidden="1" customWidth="1"/>
    <col min="5" max="5" width="24.53515625" hidden="1" customWidth="1"/>
    <col min="22" max="24" width="0" hidden="1" customWidth="1"/>
  </cols>
  <sheetData>
    <row r="1" spans="1:59">
      <c r="A1" s="1"/>
      <c r="D1" s="1"/>
    </row>
    <row r="2" spans="1:59" ht="26">
      <c r="A2" s="1"/>
      <c r="B2" s="3" t="s">
        <v>14</v>
      </c>
      <c r="C2" s="4"/>
      <c r="D2" s="5"/>
      <c r="E2" s="6" t="s">
        <v>15</v>
      </c>
      <c r="J2" s="8"/>
      <c r="K2" s="9" t="s">
        <v>51</v>
      </c>
      <c r="L2" s="8"/>
    </row>
    <row r="3" spans="1:59">
      <c r="A3" s="7">
        <v>1</v>
      </c>
      <c r="B3" t="s">
        <v>819</v>
      </c>
      <c r="D3" s="7">
        <v>1</v>
      </c>
      <c r="E3" t="s">
        <v>16</v>
      </c>
      <c r="BG3" s="2" t="s">
        <v>212</v>
      </c>
    </row>
    <row r="4" spans="1:59" ht="35">
      <c r="A4" s="7">
        <v>2</v>
      </c>
      <c r="B4" t="s">
        <v>820</v>
      </c>
      <c r="D4" s="7">
        <v>2</v>
      </c>
      <c r="E4" t="s">
        <v>17</v>
      </c>
      <c r="BG4" s="2" t="s">
        <v>449</v>
      </c>
    </row>
    <row r="5" spans="1:59" ht="35">
      <c r="A5" s="7">
        <v>3</v>
      </c>
      <c r="B5" t="s">
        <v>821</v>
      </c>
      <c r="D5" s="7">
        <v>3</v>
      </c>
      <c r="E5" t="s">
        <v>813</v>
      </c>
      <c r="BG5" s="2" t="s">
        <v>215</v>
      </c>
    </row>
    <row r="6" spans="1:59" ht="105">
      <c r="A6" s="7">
        <v>4</v>
      </c>
      <c r="B6" t="s">
        <v>822</v>
      </c>
      <c r="D6" s="7">
        <v>4</v>
      </c>
      <c r="E6" t="s">
        <v>18</v>
      </c>
      <c r="BG6" s="2" t="s">
        <v>53</v>
      </c>
    </row>
    <row r="7" spans="1:59" ht="87.5">
      <c r="A7" s="7">
        <v>5</v>
      </c>
      <c r="B7" t="s">
        <v>823</v>
      </c>
      <c r="D7" s="7">
        <v>5</v>
      </c>
      <c r="E7" t="s">
        <v>814</v>
      </c>
      <c r="BG7" s="2" t="s">
        <v>61</v>
      </c>
    </row>
    <row r="8" spans="1:59">
      <c r="A8" s="7">
        <v>6</v>
      </c>
      <c r="B8" t="s">
        <v>824</v>
      </c>
      <c r="D8" s="7">
        <v>6</v>
      </c>
      <c r="E8" t="s">
        <v>19</v>
      </c>
      <c r="BG8" s="2" t="s">
        <v>98</v>
      </c>
    </row>
    <row r="9" spans="1:59">
      <c r="A9" s="7">
        <v>7</v>
      </c>
      <c r="B9" t="s">
        <v>825</v>
      </c>
      <c r="D9" s="7">
        <v>7</v>
      </c>
      <c r="E9" t="s">
        <v>20</v>
      </c>
    </row>
    <row r="10" spans="1:59">
      <c r="A10" s="7">
        <v>8</v>
      </c>
      <c r="B10" t="s">
        <v>826</v>
      </c>
      <c r="D10" s="7">
        <v>8</v>
      </c>
      <c r="E10" t="s">
        <v>815</v>
      </c>
      <c r="BG10" s="2" t="s">
        <v>63</v>
      </c>
    </row>
    <row r="11" spans="1:59">
      <c r="A11" s="7">
        <v>9</v>
      </c>
      <c r="B11" t="s">
        <v>827</v>
      </c>
      <c r="D11" s="7"/>
      <c r="E11" t="s">
        <v>98</v>
      </c>
      <c r="W11">
        <v>2015</v>
      </c>
      <c r="X11">
        <v>2020</v>
      </c>
      <c r="BG11" s="2" t="s">
        <v>214</v>
      </c>
    </row>
    <row r="12" spans="1:59">
      <c r="A12" s="7">
        <v>10</v>
      </c>
      <c r="B12" t="s">
        <v>828</v>
      </c>
      <c r="D12" s="7">
        <v>9</v>
      </c>
      <c r="E12" t="s">
        <v>21</v>
      </c>
      <c r="W12">
        <v>2016</v>
      </c>
      <c r="X12">
        <v>2021</v>
      </c>
      <c r="BG12" s="2" t="s">
        <v>54</v>
      </c>
    </row>
    <row r="13" spans="1:59">
      <c r="A13" s="7">
        <v>11</v>
      </c>
      <c r="B13" t="s">
        <v>829</v>
      </c>
      <c r="D13" s="7">
        <v>10</v>
      </c>
      <c r="E13" t="s">
        <v>22</v>
      </c>
      <c r="W13">
        <v>2017</v>
      </c>
      <c r="X13">
        <v>2022</v>
      </c>
      <c r="BG13" s="2" t="s">
        <v>811</v>
      </c>
    </row>
    <row r="14" spans="1:59">
      <c r="A14" s="7">
        <v>12</v>
      </c>
      <c r="B14" t="s">
        <v>830</v>
      </c>
      <c r="D14" s="7"/>
      <c r="E14" t="s">
        <v>98</v>
      </c>
      <c r="W14">
        <v>2018</v>
      </c>
      <c r="X14">
        <v>2023</v>
      </c>
    </row>
    <row r="15" spans="1:59">
      <c r="A15" s="1"/>
      <c r="D15" s="7">
        <v>11</v>
      </c>
      <c r="E15" t="s">
        <v>23</v>
      </c>
      <c r="W15">
        <v>2019</v>
      </c>
      <c r="X15">
        <v>2024</v>
      </c>
    </row>
    <row r="16" spans="1:59">
      <c r="A16" s="1"/>
      <c r="D16" s="7">
        <v>12</v>
      </c>
      <c r="E16" t="s">
        <v>24</v>
      </c>
      <c r="W16">
        <v>2020</v>
      </c>
      <c r="X16">
        <v>2025</v>
      </c>
    </row>
    <row r="17" spans="1:24">
      <c r="A17" s="1"/>
      <c r="D17" s="7"/>
      <c r="E17" t="s">
        <v>98</v>
      </c>
      <c r="W17">
        <v>2021</v>
      </c>
      <c r="X17">
        <v>2026</v>
      </c>
    </row>
    <row r="18" spans="1:24">
      <c r="A18" s="1"/>
      <c r="D18" s="7">
        <v>13</v>
      </c>
      <c r="E18" t="s">
        <v>25</v>
      </c>
      <c r="W18">
        <v>2022</v>
      </c>
      <c r="X18">
        <v>2027</v>
      </c>
    </row>
    <row r="19" spans="1:24">
      <c r="A19" s="1"/>
      <c r="D19" s="7"/>
      <c r="E19" t="s">
        <v>98</v>
      </c>
      <c r="W19">
        <v>2023</v>
      </c>
      <c r="X19">
        <v>2028</v>
      </c>
    </row>
    <row r="20" spans="1:24">
      <c r="A20" s="1"/>
      <c r="D20" s="7">
        <v>14</v>
      </c>
      <c r="E20" t="s">
        <v>816</v>
      </c>
      <c r="W20">
        <v>2024</v>
      </c>
      <c r="X20">
        <v>2029</v>
      </c>
    </row>
    <row r="21" spans="1:24">
      <c r="A21" s="1"/>
      <c r="D21" s="7">
        <v>15</v>
      </c>
      <c r="E21" t="s">
        <v>26</v>
      </c>
      <c r="W21">
        <v>2025</v>
      </c>
      <c r="X21">
        <v>2030</v>
      </c>
    </row>
    <row r="22" spans="1:24">
      <c r="A22" s="1"/>
      <c r="D22" s="7">
        <v>16</v>
      </c>
      <c r="E22" t="s">
        <v>27</v>
      </c>
      <c r="W22">
        <v>2026</v>
      </c>
      <c r="X22">
        <v>2031</v>
      </c>
    </row>
    <row r="23" spans="1:24">
      <c r="A23" s="1"/>
      <c r="D23" s="7">
        <v>17</v>
      </c>
      <c r="E23" t="s">
        <v>28</v>
      </c>
      <c r="W23">
        <v>2027</v>
      </c>
      <c r="X23">
        <v>2032</v>
      </c>
    </row>
    <row r="24" spans="1:24">
      <c r="A24" s="1"/>
      <c r="D24" s="7"/>
      <c r="E24" t="s">
        <v>98</v>
      </c>
      <c r="W24">
        <v>2028</v>
      </c>
      <c r="X24">
        <v>2033</v>
      </c>
    </row>
    <row r="25" spans="1:24">
      <c r="A25" s="1"/>
      <c r="D25" s="7">
        <v>18</v>
      </c>
      <c r="E25" t="s">
        <v>29</v>
      </c>
      <c r="W25">
        <v>2029</v>
      </c>
      <c r="X25">
        <v>2034</v>
      </c>
    </row>
    <row r="26" spans="1:24">
      <c r="A26" s="1"/>
      <c r="D26" s="7">
        <v>19</v>
      </c>
      <c r="E26" t="s">
        <v>30</v>
      </c>
      <c r="X26">
        <v>2035</v>
      </c>
    </row>
    <row r="27" spans="1:24">
      <c r="A27" s="1"/>
      <c r="D27" s="7">
        <v>20</v>
      </c>
      <c r="E27" t="s">
        <v>31</v>
      </c>
    </row>
    <row r="28" spans="1:24">
      <c r="A28" s="1"/>
      <c r="D28" s="7">
        <v>21</v>
      </c>
      <c r="E28" t="s">
        <v>32</v>
      </c>
    </row>
    <row r="29" spans="1:24">
      <c r="A29" s="1"/>
      <c r="D29" s="7">
        <v>22</v>
      </c>
      <c r="E29" t="s">
        <v>33</v>
      </c>
    </row>
    <row r="30" spans="1:24">
      <c r="A30" s="1"/>
      <c r="D30" s="7"/>
      <c r="E30" t="s">
        <v>98</v>
      </c>
    </row>
    <row r="31" spans="1:24">
      <c r="A31" s="1"/>
      <c r="D31" s="7">
        <v>23</v>
      </c>
      <c r="E31" t="s">
        <v>818</v>
      </c>
    </row>
    <row r="32" spans="1:24">
      <c r="A32" s="1"/>
      <c r="D32" s="7">
        <v>24</v>
      </c>
      <c r="E32" t="s">
        <v>34</v>
      </c>
    </row>
    <row r="33" spans="1:5">
      <c r="A33" s="1"/>
      <c r="D33" s="7">
        <v>25</v>
      </c>
      <c r="E33" t="s">
        <v>1329</v>
      </c>
    </row>
    <row r="34" spans="1:5">
      <c r="A34" s="1"/>
      <c r="B34" s="10"/>
      <c r="D34" s="7">
        <v>26</v>
      </c>
      <c r="E34" t="s">
        <v>817</v>
      </c>
    </row>
    <row r="35" spans="1:5">
      <c r="A35" s="1"/>
      <c r="D35" s="7">
        <v>27</v>
      </c>
      <c r="E35" t="s">
        <v>35</v>
      </c>
    </row>
    <row r="36" spans="1:5">
      <c r="A36" s="1"/>
      <c r="D36" s="7"/>
      <c r="E36" t="s">
        <v>98</v>
      </c>
    </row>
    <row r="37" spans="1:5">
      <c r="A37" s="1"/>
      <c r="D37" s="7">
        <v>28</v>
      </c>
      <c r="E37" t="s">
        <v>36</v>
      </c>
    </row>
    <row r="38" spans="1:5">
      <c r="A38" s="1"/>
      <c r="D38" s="7">
        <v>29</v>
      </c>
      <c r="E38" t="s">
        <v>37</v>
      </c>
    </row>
    <row r="39" spans="1:5">
      <c r="A39" s="1"/>
      <c r="D39" s="7">
        <v>30</v>
      </c>
      <c r="E39" t="s">
        <v>38</v>
      </c>
    </row>
    <row r="40" spans="1:5">
      <c r="A40" s="1"/>
      <c r="D40" s="7">
        <v>31</v>
      </c>
      <c r="E40" t="s">
        <v>39</v>
      </c>
    </row>
    <row r="41" spans="1:5">
      <c r="A41" s="1"/>
      <c r="D41" s="7"/>
      <c r="E41" t="s">
        <v>98</v>
      </c>
    </row>
    <row r="42" spans="1:5">
      <c r="A42" s="1"/>
      <c r="D42" s="7">
        <v>32</v>
      </c>
      <c r="E42" t="s">
        <v>40</v>
      </c>
    </row>
    <row r="43" spans="1:5">
      <c r="A43" s="1"/>
      <c r="D43" s="7">
        <v>33</v>
      </c>
      <c r="E43" t="s">
        <v>41</v>
      </c>
    </row>
    <row r="44" spans="1:5">
      <c r="A44" s="1"/>
      <c r="D44" s="7">
        <v>34</v>
      </c>
      <c r="E44" t="s">
        <v>42</v>
      </c>
    </row>
    <row r="45" spans="1:5">
      <c r="A45" s="1"/>
      <c r="D45" s="7"/>
      <c r="E45" t="s">
        <v>98</v>
      </c>
    </row>
    <row r="46" spans="1:5">
      <c r="A46" s="1"/>
      <c r="D46" s="7">
        <v>35</v>
      </c>
      <c r="E46" t="s">
        <v>43</v>
      </c>
    </row>
    <row r="47" spans="1:5">
      <c r="A47" s="1"/>
      <c r="D47" s="7">
        <v>36</v>
      </c>
      <c r="E47" t="s">
        <v>44</v>
      </c>
    </row>
    <row r="48" spans="1:5">
      <c r="A48" s="1"/>
      <c r="D48" s="7"/>
      <c r="E48" t="s">
        <v>98</v>
      </c>
    </row>
    <row r="49" spans="1:5">
      <c r="A49" s="1"/>
      <c r="D49" s="7">
        <v>37</v>
      </c>
      <c r="E49" t="s">
        <v>45</v>
      </c>
    </row>
    <row r="50" spans="1:5">
      <c r="A50" s="1"/>
      <c r="D50" s="7">
        <v>38</v>
      </c>
      <c r="E50" t="s">
        <v>46</v>
      </c>
    </row>
    <row r="51" spans="1:5">
      <c r="A51" s="1"/>
      <c r="D51" s="7"/>
      <c r="E51" t="s">
        <v>98</v>
      </c>
    </row>
    <row r="52" spans="1:5">
      <c r="D52" s="7">
        <v>39</v>
      </c>
      <c r="E52" t="s">
        <v>47</v>
      </c>
    </row>
    <row r="53" spans="1:5">
      <c r="D53" s="7">
        <v>40</v>
      </c>
      <c r="E53" t="s">
        <v>48</v>
      </c>
    </row>
    <row r="54" spans="1:5">
      <c r="D54" s="7">
        <v>41</v>
      </c>
      <c r="E54" t="s">
        <v>49</v>
      </c>
    </row>
    <row r="55" spans="1:5">
      <c r="D55" s="7">
        <v>42</v>
      </c>
      <c r="E55" t="s">
        <v>50</v>
      </c>
    </row>
    <row r="56" spans="1:5">
      <c r="D56" s="7" t="s">
        <v>98</v>
      </c>
      <c r="E56" t="s">
        <v>98</v>
      </c>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12</vt:i4>
      </vt:variant>
    </vt:vector>
  </HeadingPairs>
  <TitlesOfParts>
    <vt:vector size="16" baseType="lpstr">
      <vt:lpstr>취합</vt:lpstr>
      <vt:lpstr>결과</vt:lpstr>
      <vt:lpstr>개수</vt:lpstr>
      <vt:lpstr>(참고) ETRI 12대 전략기술 및 42개 세부기술</vt:lpstr>
      <vt:lpstr>range1</vt:lpstr>
      <vt:lpstr>range10</vt:lpstr>
      <vt:lpstr>range11</vt:lpstr>
      <vt:lpstr>range12</vt:lpstr>
      <vt:lpstr>range2</vt:lpstr>
      <vt:lpstr>range3</vt:lpstr>
      <vt:lpstr>range4</vt:lpstr>
      <vt:lpstr>range5</vt:lpstr>
      <vt:lpstr>range6</vt:lpstr>
      <vt:lpstr>range7</vt:lpstr>
      <vt:lpstr>range8</vt:lpstr>
      <vt:lpstr>range9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Suwook Ha</cp:lastModifiedBy>
  <cp:lastPrinted>2023-04-12T04:29:44Z</cp:lastPrinted>
  <dcterms:created xsi:type="dcterms:W3CDTF">2023-04-10T23:54:10Z</dcterms:created>
  <dcterms:modified xsi:type="dcterms:W3CDTF">2025-07-31T05:18:17Z</dcterms:modified>
</cp:coreProperties>
</file>